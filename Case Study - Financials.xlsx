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drawings/drawing5.xml" ContentType="application/vnd.openxmlformats-officedocument.drawing+xml"/>
  <Override PartName="/xl/ctrlProps/ctrlProp5.xml" ContentType="application/vnd.ms-excel.controlproperties+xml"/>
  <Override PartName="/xl/drawings/drawing6.xml" ContentType="application/vnd.openxmlformats-officedocument.drawing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 Rawat\OneDrive\Desktop\FMVA\1. Work Done\Case Study\"/>
    </mc:Choice>
  </mc:AlternateContent>
  <xr:revisionPtr revIDLastSave="0" documentId="13_ncr:1_{C3C3F2C6-94B4-4B26-BACF-158D22F0E13E}" xr6:coauthVersionLast="47" xr6:coauthVersionMax="47" xr10:uidLastSave="{00000000-0000-0000-0000-000000000000}"/>
  <bookViews>
    <workbookView xWindow="-108" yWindow="-108" windowWidth="23256" windowHeight="12456" firstSheet="2" activeTab="6" xr2:uid="{5DB57AB0-0760-4DA3-ADAE-3983A06AD74C}"/>
  </bookViews>
  <sheets>
    <sheet name="Cover&gt;" sheetId="5" r:id="rId1"/>
    <sheet name="ControlSheet" sheetId="6" r:id="rId2"/>
    <sheet name="Schedules" sheetId="10" r:id="rId3"/>
    <sheet name="3 Statement Model" sheetId="11" r:id="rId4"/>
    <sheet name="Common Size Statement" sheetId="14" r:id="rId5"/>
    <sheet name="Ratio Analysis" sheetId="12" r:id="rId6"/>
    <sheet name="DCF Val" sheetId="15" r:id="rId7"/>
    <sheet name="Client Data &gt;" sheetId="3" r:id="rId8"/>
    <sheet name=" Income Statement" sheetId="1" r:id="rId9"/>
    <sheet name=" Balance Sheet" sheetId="2" r:id="rId10"/>
    <sheet name="Sheet2" sheetId="13" r:id="rId11"/>
  </sheets>
  <definedNames>
    <definedName name="CIQWBGuid" localSheetId="9" hidden="1">"96240483-c32e-4a08-b79f-43f13c36ee0e"</definedName>
    <definedName name="CIQWBGuid" localSheetId="8" hidden="1">"96240483-c32e-4a08-b79f-43f13c36ee0e"</definedName>
    <definedName name="CIQWBGuid" hidden="1">"9bd8df8b-044c-4dd6-a0df-b0c3f83b8dd9"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"06/08/2021 20:37:46"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9">' Balance Sheet'!$B$2:$G$40</definedName>
    <definedName name="_xlnm.Print_Area" localSheetId="8">' Income Statement'!$B$2:$G$27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5" i="11" l="1"/>
  <c r="C65" i="15"/>
  <c r="J306" i="10"/>
  <c r="E301" i="10"/>
  <c r="E296" i="10"/>
  <c r="E291" i="10"/>
  <c r="E276" i="10"/>
  <c r="F334" i="10"/>
  <c r="E254" i="10"/>
  <c r="E52" i="10"/>
  <c r="E19" i="11"/>
  <c r="E18" i="11"/>
  <c r="E18" i="14" s="1"/>
  <c r="G89" i="15"/>
  <c r="H89" i="15" s="1"/>
  <c r="I89" i="15" s="1"/>
  <c r="J89" i="15" s="1"/>
  <c r="F89" i="15"/>
  <c r="D94" i="15"/>
  <c r="D95" i="15" s="1"/>
  <c r="D91" i="15"/>
  <c r="D92" i="15" s="1"/>
  <c r="D80" i="15"/>
  <c r="D81" i="15" s="1"/>
  <c r="H78" i="15"/>
  <c r="I78" i="15" s="1"/>
  <c r="J78" i="15" s="1"/>
  <c r="G78" i="15"/>
  <c r="F78" i="15"/>
  <c r="C72" i="15"/>
  <c r="C71" i="15"/>
  <c r="C58" i="15"/>
  <c r="C57" i="15"/>
  <c r="C29" i="15"/>
  <c r="C45" i="15"/>
  <c r="C39" i="15"/>
  <c r="F28" i="15"/>
  <c r="G28" i="15" s="1"/>
  <c r="H28" i="15" s="1"/>
  <c r="I28" i="15" s="1"/>
  <c r="J28" i="15" s="1"/>
  <c r="E9" i="15"/>
  <c r="F9" i="15"/>
  <c r="G9" i="15" s="1"/>
  <c r="H9" i="15" s="1"/>
  <c r="I9" i="15" s="1"/>
  <c r="J9" i="15" s="1"/>
  <c r="F95" i="12"/>
  <c r="D95" i="12"/>
  <c r="F94" i="12"/>
  <c r="E94" i="12"/>
  <c r="F93" i="12"/>
  <c r="D94" i="12"/>
  <c r="D93" i="12"/>
  <c r="F88" i="12"/>
  <c r="F91" i="12"/>
  <c r="F90" i="12"/>
  <c r="F89" i="12"/>
  <c r="E89" i="12"/>
  <c r="E90" i="12"/>
  <c r="F85" i="12"/>
  <c r="F84" i="12"/>
  <c r="F86" i="12" s="1"/>
  <c r="E84" i="12"/>
  <c r="D86" i="12"/>
  <c r="D85" i="12"/>
  <c r="D84" i="12"/>
  <c r="F79" i="12"/>
  <c r="E79" i="12"/>
  <c r="F78" i="12"/>
  <c r="F80" i="12" s="1"/>
  <c r="E78" i="12"/>
  <c r="D79" i="12"/>
  <c r="D78" i="12"/>
  <c r="D80" i="12" s="1"/>
  <c r="D70" i="12"/>
  <c r="F71" i="12"/>
  <c r="E71" i="12"/>
  <c r="E75" i="12" s="1"/>
  <c r="F70" i="12"/>
  <c r="E70" i="12"/>
  <c r="D71" i="12"/>
  <c r="F61" i="12"/>
  <c r="E61" i="12"/>
  <c r="F60" i="12"/>
  <c r="F65" i="12"/>
  <c r="E65" i="12"/>
  <c r="F64" i="12"/>
  <c r="F66" i="12" s="1"/>
  <c r="D65" i="12"/>
  <c r="D61" i="12"/>
  <c r="D64" i="12"/>
  <c r="D66" i="12" s="1"/>
  <c r="D60" i="12"/>
  <c r="E49" i="12"/>
  <c r="F49" i="12"/>
  <c r="E44" i="12"/>
  <c r="F44" i="12"/>
  <c r="E45" i="12"/>
  <c r="F45" i="12"/>
  <c r="F57" i="12"/>
  <c r="E57" i="12"/>
  <c r="F56" i="12"/>
  <c r="F53" i="12"/>
  <c r="E53" i="12"/>
  <c r="F52" i="12"/>
  <c r="F48" i="12"/>
  <c r="D56" i="12"/>
  <c r="D52" i="12"/>
  <c r="D57" i="12"/>
  <c r="D53" i="12"/>
  <c r="D49" i="12"/>
  <c r="D48" i="12"/>
  <c r="D45" i="12"/>
  <c r="D44" i="12"/>
  <c r="F39" i="12"/>
  <c r="E39" i="12"/>
  <c r="F38" i="12"/>
  <c r="E38" i="12"/>
  <c r="D39" i="12"/>
  <c r="D38" i="12"/>
  <c r="F35" i="12"/>
  <c r="E35" i="12"/>
  <c r="F34" i="12"/>
  <c r="E34" i="12"/>
  <c r="D35" i="12"/>
  <c r="D34" i="12"/>
  <c r="F31" i="12"/>
  <c r="E31" i="12"/>
  <c r="F30" i="12"/>
  <c r="F32" i="12" s="1"/>
  <c r="E30" i="12"/>
  <c r="D31" i="12"/>
  <c r="D30" i="12"/>
  <c r="F25" i="12"/>
  <c r="E25" i="12"/>
  <c r="F24" i="12"/>
  <c r="E24" i="12"/>
  <c r="F23" i="12"/>
  <c r="E23" i="12"/>
  <c r="D25" i="12"/>
  <c r="D24" i="12"/>
  <c r="D23" i="12"/>
  <c r="D26" i="12" s="1"/>
  <c r="E17" i="12"/>
  <c r="F17" i="12"/>
  <c r="E18" i="12"/>
  <c r="F18" i="12"/>
  <c r="E19" i="12"/>
  <c r="F19" i="12"/>
  <c r="E20" i="12"/>
  <c r="F20" i="12"/>
  <c r="F14" i="12"/>
  <c r="E14" i="12"/>
  <c r="E15" i="12" s="1"/>
  <c r="F13" i="12"/>
  <c r="E13" i="12"/>
  <c r="D19" i="12"/>
  <c r="D18" i="12"/>
  <c r="D20" i="12"/>
  <c r="D17" i="12"/>
  <c r="D14" i="12"/>
  <c r="D13" i="12"/>
  <c r="D15" i="12" s="1"/>
  <c r="F73" i="14"/>
  <c r="E73" i="14"/>
  <c r="D73" i="14"/>
  <c r="F71" i="14"/>
  <c r="E71" i="14"/>
  <c r="D71" i="14"/>
  <c r="F70" i="14"/>
  <c r="E70" i="14"/>
  <c r="D70" i="14"/>
  <c r="F69" i="14"/>
  <c r="E69" i="14"/>
  <c r="D69" i="14"/>
  <c r="F67" i="14"/>
  <c r="E67" i="14"/>
  <c r="D67" i="14"/>
  <c r="F66" i="14"/>
  <c r="E66" i="14"/>
  <c r="D66" i="14"/>
  <c r="F65" i="14"/>
  <c r="E65" i="14"/>
  <c r="D65" i="14"/>
  <c r="F64" i="14"/>
  <c r="E64" i="14"/>
  <c r="D64" i="14"/>
  <c r="F62" i="14"/>
  <c r="E62" i="14"/>
  <c r="D62" i="14"/>
  <c r="F61" i="14"/>
  <c r="E61" i="14"/>
  <c r="D61" i="14"/>
  <c r="F60" i="14"/>
  <c r="E60" i="14"/>
  <c r="D60" i="14"/>
  <c r="F59" i="14"/>
  <c r="E59" i="14"/>
  <c r="D59" i="14"/>
  <c r="F55" i="14"/>
  <c r="E55" i="14"/>
  <c r="D55" i="14"/>
  <c r="F53" i="14"/>
  <c r="E53" i="14"/>
  <c r="D53" i="14"/>
  <c r="F52" i="14"/>
  <c r="E52" i="14"/>
  <c r="D52" i="14"/>
  <c r="F51" i="14"/>
  <c r="E51" i="14"/>
  <c r="D51" i="14"/>
  <c r="F50" i="14"/>
  <c r="E50" i="14"/>
  <c r="D50" i="14"/>
  <c r="F49" i="14"/>
  <c r="E49" i="14"/>
  <c r="D49" i="14"/>
  <c r="F47" i="14"/>
  <c r="E47" i="14"/>
  <c r="D47" i="14"/>
  <c r="F46" i="14"/>
  <c r="E46" i="14"/>
  <c r="D46" i="14"/>
  <c r="F45" i="14"/>
  <c r="E45" i="14"/>
  <c r="D45" i="14"/>
  <c r="F44" i="14"/>
  <c r="E44" i="14"/>
  <c r="D44" i="14"/>
  <c r="F43" i="14"/>
  <c r="E43" i="14"/>
  <c r="D43" i="14"/>
  <c r="F42" i="14"/>
  <c r="E42" i="14"/>
  <c r="D42" i="14"/>
  <c r="F37" i="14"/>
  <c r="D37" i="14"/>
  <c r="F36" i="14"/>
  <c r="E36" i="14"/>
  <c r="D36" i="14"/>
  <c r="F34" i="14"/>
  <c r="D34" i="14"/>
  <c r="F33" i="14"/>
  <c r="E33" i="14"/>
  <c r="D33" i="14"/>
  <c r="F32" i="14"/>
  <c r="E32" i="14"/>
  <c r="D32" i="14"/>
  <c r="F29" i="14"/>
  <c r="D29" i="14"/>
  <c r="F28" i="14"/>
  <c r="E28" i="14"/>
  <c r="D28" i="14"/>
  <c r="F27" i="14"/>
  <c r="E27" i="14"/>
  <c r="D27" i="14"/>
  <c r="F24" i="14"/>
  <c r="D24" i="14"/>
  <c r="F23" i="14"/>
  <c r="E23" i="14"/>
  <c r="D23" i="14"/>
  <c r="F22" i="14"/>
  <c r="E22" i="14"/>
  <c r="D22" i="14"/>
  <c r="F21" i="14"/>
  <c r="E21" i="14"/>
  <c r="D21" i="14"/>
  <c r="F20" i="14"/>
  <c r="E20" i="14"/>
  <c r="D20" i="14"/>
  <c r="F19" i="14"/>
  <c r="E19" i="14"/>
  <c r="D19" i="14"/>
  <c r="F18" i="14"/>
  <c r="D18" i="14"/>
  <c r="F15" i="14"/>
  <c r="E15" i="14"/>
  <c r="D15" i="14"/>
  <c r="F14" i="14"/>
  <c r="E14" i="14"/>
  <c r="D14" i="14"/>
  <c r="F13" i="14"/>
  <c r="E13" i="14"/>
  <c r="D13" i="14"/>
  <c r="E9" i="14"/>
  <c r="F9" i="14" s="1"/>
  <c r="G9" i="14" s="1"/>
  <c r="H9" i="14" s="1"/>
  <c r="I9" i="14" s="1"/>
  <c r="J9" i="14" s="1"/>
  <c r="K9" i="14" s="1"/>
  <c r="L240" i="10"/>
  <c r="E9" i="12"/>
  <c r="E239" i="10"/>
  <c r="E242" i="10" s="1"/>
  <c r="F239" i="10" s="1"/>
  <c r="F244" i="10"/>
  <c r="G30" i="15" l="1"/>
  <c r="D83" i="15"/>
  <c r="D84" i="15" s="1"/>
  <c r="J30" i="15"/>
  <c r="C66" i="15" s="1"/>
  <c r="F30" i="15"/>
  <c r="I30" i="15"/>
  <c r="H30" i="15"/>
  <c r="F75" i="12"/>
  <c r="E72" i="12"/>
  <c r="F72" i="12"/>
  <c r="F36" i="12"/>
  <c r="F40" i="12"/>
  <c r="E80" i="12"/>
  <c r="E74" i="12"/>
  <c r="E76" i="12" s="1"/>
  <c r="F74" i="12"/>
  <c r="F76" i="12" s="1"/>
  <c r="D36" i="12"/>
  <c r="F54" i="12"/>
  <c r="F46" i="12"/>
  <c r="F21" i="12"/>
  <c r="E21" i="12"/>
  <c r="D46" i="12"/>
  <c r="F50" i="12"/>
  <c r="D62" i="12"/>
  <c r="D72" i="12"/>
  <c r="D21" i="12"/>
  <c r="E46" i="12"/>
  <c r="D32" i="12"/>
  <c r="F58" i="12"/>
  <c r="F15" i="12"/>
  <c r="D50" i="12"/>
  <c r="E26" i="12"/>
  <c r="D40" i="12"/>
  <c r="F62" i="12"/>
  <c r="F26" i="12"/>
  <c r="E32" i="12"/>
  <c r="E36" i="12"/>
  <c r="E40" i="12"/>
  <c r="D58" i="12"/>
  <c r="D54" i="12"/>
  <c r="F9" i="12"/>
  <c r="G115" i="11"/>
  <c r="K110" i="11"/>
  <c r="J110" i="11"/>
  <c r="I110" i="11"/>
  <c r="H110" i="11"/>
  <c r="K97" i="11"/>
  <c r="J97" i="11"/>
  <c r="I97" i="11"/>
  <c r="H97" i="11"/>
  <c r="D77" i="11"/>
  <c r="D76" i="11"/>
  <c r="D78" i="11" s="1"/>
  <c r="D72" i="11"/>
  <c r="D73" i="11"/>
  <c r="D71" i="11"/>
  <c r="D74" i="11" s="1"/>
  <c r="D67" i="11"/>
  <c r="D91" i="11" s="1"/>
  <c r="D68" i="11"/>
  <c r="D90" i="11" s="1"/>
  <c r="D66" i="11"/>
  <c r="D87" i="11" s="1"/>
  <c r="E59" i="11"/>
  <c r="D57" i="11"/>
  <c r="D58" i="11"/>
  <c r="D59" i="11"/>
  <c r="D56" i="11"/>
  <c r="D60" i="11" s="1"/>
  <c r="D51" i="11"/>
  <c r="D85" i="11" s="1"/>
  <c r="D52" i="11"/>
  <c r="D88" i="11" s="1"/>
  <c r="D53" i="11"/>
  <c r="D89" i="11" s="1"/>
  <c r="D50" i="11"/>
  <c r="D86" i="11" s="1"/>
  <c r="D49" i="11"/>
  <c r="D54" i="11" s="1"/>
  <c r="D32" i="11"/>
  <c r="D28" i="11"/>
  <c r="D27" i="11"/>
  <c r="D36" i="11"/>
  <c r="D19" i="11"/>
  <c r="D20" i="11"/>
  <c r="D21" i="11"/>
  <c r="D22" i="11"/>
  <c r="D23" i="11"/>
  <c r="D18" i="11"/>
  <c r="D14" i="11"/>
  <c r="D13" i="11"/>
  <c r="D39" i="11" s="1"/>
  <c r="E9" i="11"/>
  <c r="F9" i="11" s="1"/>
  <c r="F28" i="11" s="1"/>
  <c r="E352" i="10"/>
  <c r="E346" i="10"/>
  <c r="E340" i="10"/>
  <c r="G334" i="10"/>
  <c r="H334" i="10" s="1"/>
  <c r="I334" i="10" s="1"/>
  <c r="B229" i="10"/>
  <c r="B230" i="10" s="1"/>
  <c r="B231" i="10" s="1"/>
  <c r="B232" i="10" s="1"/>
  <c r="B233" i="10" s="1"/>
  <c r="B234" i="10" s="1"/>
  <c r="B218" i="10"/>
  <c r="B219" i="10" s="1"/>
  <c r="B220" i="10" s="1"/>
  <c r="B221" i="10" s="1"/>
  <c r="B222" i="10" s="1"/>
  <c r="B223" i="10" s="1"/>
  <c r="B334" i="10"/>
  <c r="B335" i="10" s="1"/>
  <c r="B336" i="10" s="1"/>
  <c r="B337" i="10" s="1"/>
  <c r="B338" i="10" s="1"/>
  <c r="B339" i="10" s="1"/>
  <c r="G326" i="10"/>
  <c r="G336" i="10" s="1"/>
  <c r="H336" i="10" s="1"/>
  <c r="I336" i="10" s="1"/>
  <c r="J336" i="10" s="1"/>
  <c r="H326" i="10"/>
  <c r="E328" i="10"/>
  <c r="F325" i="10" s="1"/>
  <c r="E300" i="10"/>
  <c r="E305" i="10"/>
  <c r="E295" i="10"/>
  <c r="E290" i="10"/>
  <c r="E285" i="10"/>
  <c r="E280" i="10"/>
  <c r="E275" i="10"/>
  <c r="E266" i="10"/>
  <c r="F263" i="10" s="1"/>
  <c r="E256" i="10"/>
  <c r="E229" i="10"/>
  <c r="E235" i="10" s="1"/>
  <c r="E218" i="10"/>
  <c r="F218" i="10" s="1"/>
  <c r="G218" i="10" s="1"/>
  <c r="H218" i="10" s="1"/>
  <c r="I218" i="10" s="1"/>
  <c r="J218" i="10" s="1"/>
  <c r="E213" i="10"/>
  <c r="F210" i="10" s="1"/>
  <c r="E208" i="10"/>
  <c r="F205" i="10" s="1"/>
  <c r="E196" i="10"/>
  <c r="E200" i="10"/>
  <c r="K102" i="6"/>
  <c r="J95" i="10" s="1"/>
  <c r="J102" i="6"/>
  <c r="I95" i="10" s="1"/>
  <c r="I102" i="6"/>
  <c r="H95" i="10" s="1"/>
  <c r="H102" i="6"/>
  <c r="G95" i="10" s="1"/>
  <c r="G102" i="6"/>
  <c r="F95" i="10" s="1"/>
  <c r="F85" i="10" s="1"/>
  <c r="K96" i="6"/>
  <c r="J94" i="10" s="1"/>
  <c r="J96" i="6"/>
  <c r="I94" i="10" s="1"/>
  <c r="I96" i="6"/>
  <c r="H94" i="10" s="1"/>
  <c r="H96" i="6"/>
  <c r="G94" i="10" s="1"/>
  <c r="G96" i="6"/>
  <c r="F94" i="10" s="1"/>
  <c r="F82" i="10" s="1"/>
  <c r="K90" i="6"/>
  <c r="J93" i="10" s="1"/>
  <c r="J90" i="6"/>
  <c r="I93" i="10" s="1"/>
  <c r="I90" i="6"/>
  <c r="H93" i="10" s="1"/>
  <c r="H90" i="6"/>
  <c r="G93" i="10" s="1"/>
  <c r="G90" i="6"/>
  <c r="F93" i="10" s="1"/>
  <c r="F79" i="10" s="1"/>
  <c r="K81" i="6"/>
  <c r="J81" i="6"/>
  <c r="I81" i="6"/>
  <c r="H81" i="6"/>
  <c r="G81" i="6"/>
  <c r="K75" i="6"/>
  <c r="J75" i="6"/>
  <c r="I75" i="6"/>
  <c r="H75" i="6"/>
  <c r="G75" i="6"/>
  <c r="K69" i="6"/>
  <c r="J69" i="6"/>
  <c r="I69" i="6"/>
  <c r="H69" i="6"/>
  <c r="G69" i="6"/>
  <c r="K63" i="6"/>
  <c r="J63" i="6"/>
  <c r="I63" i="6"/>
  <c r="H63" i="6"/>
  <c r="G63" i="6"/>
  <c r="K53" i="6"/>
  <c r="J53" i="6"/>
  <c r="I53" i="6"/>
  <c r="H53" i="6"/>
  <c r="G53" i="6"/>
  <c r="K47" i="6"/>
  <c r="J47" i="6"/>
  <c r="I47" i="6"/>
  <c r="H47" i="6"/>
  <c r="G47" i="6"/>
  <c r="K39" i="6"/>
  <c r="J39" i="6"/>
  <c r="I39" i="6"/>
  <c r="H39" i="6"/>
  <c r="G39" i="6"/>
  <c r="K33" i="6"/>
  <c r="J33" i="6"/>
  <c r="I33" i="6"/>
  <c r="H33" i="6"/>
  <c r="G33" i="6"/>
  <c r="K25" i="6"/>
  <c r="J25" i="6"/>
  <c r="I25" i="6"/>
  <c r="H25" i="6"/>
  <c r="G25" i="6"/>
  <c r="K19" i="6"/>
  <c r="J19" i="6"/>
  <c r="I19" i="6"/>
  <c r="H19" i="6"/>
  <c r="G19" i="6"/>
  <c r="F19" i="10" s="1"/>
  <c r="F15" i="10" s="1"/>
  <c r="K108" i="6"/>
  <c r="J96" i="10" s="1"/>
  <c r="J108" i="6"/>
  <c r="I96" i="10" s="1"/>
  <c r="I108" i="6"/>
  <c r="H96" i="10" s="1"/>
  <c r="H108" i="6"/>
  <c r="G96" i="10" s="1"/>
  <c r="G108" i="6"/>
  <c r="F96" i="10" s="1"/>
  <c r="F88" i="10" s="1"/>
  <c r="K116" i="6"/>
  <c r="J120" i="10" s="1"/>
  <c r="J116" i="6"/>
  <c r="I120" i="10" s="1"/>
  <c r="I116" i="6"/>
  <c r="H120" i="10" s="1"/>
  <c r="H116" i="6"/>
  <c r="G120" i="10" s="1"/>
  <c r="G116" i="6"/>
  <c r="F120" i="10" s="1"/>
  <c r="F104" i="10" s="1"/>
  <c r="K122" i="6"/>
  <c r="J121" i="10" s="1"/>
  <c r="J122" i="6"/>
  <c r="I121" i="10" s="1"/>
  <c r="I122" i="6"/>
  <c r="H121" i="10" s="1"/>
  <c r="H122" i="6"/>
  <c r="G121" i="10" s="1"/>
  <c r="G122" i="6"/>
  <c r="F121" i="10" s="1"/>
  <c r="F107" i="10" s="1"/>
  <c r="K128" i="6"/>
  <c r="J122" i="10" s="1"/>
  <c r="J128" i="6"/>
  <c r="I122" i="10" s="1"/>
  <c r="I128" i="6"/>
  <c r="H122" i="10" s="1"/>
  <c r="H128" i="6"/>
  <c r="G122" i="10" s="1"/>
  <c r="G128" i="6"/>
  <c r="F122" i="10" s="1"/>
  <c r="F110" i="10" s="1"/>
  <c r="K134" i="6"/>
  <c r="J123" i="10" s="1"/>
  <c r="J134" i="6"/>
  <c r="I123" i="10" s="1"/>
  <c r="I134" i="6"/>
  <c r="H123" i="10" s="1"/>
  <c r="H134" i="6"/>
  <c r="G123" i="10" s="1"/>
  <c r="G134" i="6"/>
  <c r="F123" i="10" s="1"/>
  <c r="F113" i="10" s="1"/>
  <c r="K140" i="6"/>
  <c r="J124" i="10" s="1"/>
  <c r="J140" i="6"/>
  <c r="I124" i="10" s="1"/>
  <c r="I140" i="6"/>
  <c r="H124" i="10" s="1"/>
  <c r="H140" i="6"/>
  <c r="G124" i="10" s="1"/>
  <c r="G140" i="6"/>
  <c r="K150" i="6"/>
  <c r="J139" i="10" s="1"/>
  <c r="J150" i="6"/>
  <c r="I139" i="10" s="1"/>
  <c r="I150" i="6"/>
  <c r="H139" i="10" s="1"/>
  <c r="H150" i="6"/>
  <c r="G139" i="10" s="1"/>
  <c r="G150" i="6"/>
  <c r="F139" i="10" s="1"/>
  <c r="F135" i="10" s="1"/>
  <c r="K156" i="6"/>
  <c r="J140" i="10" s="1"/>
  <c r="J156" i="6"/>
  <c r="I140" i="10" s="1"/>
  <c r="I156" i="6"/>
  <c r="H140" i="10" s="1"/>
  <c r="H156" i="6"/>
  <c r="G140" i="10" s="1"/>
  <c r="G156" i="6"/>
  <c r="F140" i="10" s="1"/>
  <c r="F136" i="10" s="1"/>
  <c r="K162" i="6"/>
  <c r="J163" i="10" s="1"/>
  <c r="J162" i="6"/>
  <c r="I163" i="10" s="1"/>
  <c r="I162" i="6"/>
  <c r="H163" i="10" s="1"/>
  <c r="H162" i="6"/>
  <c r="G163" i="10" s="1"/>
  <c r="G162" i="6"/>
  <c r="F163" i="10" s="1"/>
  <c r="K168" i="6"/>
  <c r="J168" i="10" s="1"/>
  <c r="J168" i="6"/>
  <c r="I168" i="10" s="1"/>
  <c r="I168" i="6"/>
  <c r="H168" i="10" s="1"/>
  <c r="H168" i="6"/>
  <c r="G168" i="10" s="1"/>
  <c r="G168" i="6"/>
  <c r="F168" i="10" s="1"/>
  <c r="K174" i="6"/>
  <c r="J173" i="10" s="1"/>
  <c r="J174" i="6"/>
  <c r="I173" i="10" s="1"/>
  <c r="I174" i="6"/>
  <c r="H173" i="10" s="1"/>
  <c r="H174" i="6"/>
  <c r="G173" i="10" s="1"/>
  <c r="G174" i="6"/>
  <c r="F173" i="10" s="1"/>
  <c r="K180" i="6"/>
  <c r="J178" i="10" s="1"/>
  <c r="J180" i="6"/>
  <c r="I178" i="10" s="1"/>
  <c r="I180" i="6"/>
  <c r="H178" i="10" s="1"/>
  <c r="H180" i="6"/>
  <c r="G178" i="10" s="1"/>
  <c r="G180" i="6"/>
  <c r="F178" i="10" s="1"/>
  <c r="K188" i="6"/>
  <c r="J185" i="10" s="1"/>
  <c r="J188" i="6"/>
  <c r="I185" i="10" s="1"/>
  <c r="I188" i="6"/>
  <c r="H185" i="10" s="1"/>
  <c r="H188" i="6"/>
  <c r="G185" i="10" s="1"/>
  <c r="G188" i="6"/>
  <c r="F185" i="10" s="1"/>
  <c r="F181" i="10" s="1"/>
  <c r="K194" i="6"/>
  <c r="J186" i="10" s="1"/>
  <c r="J194" i="6"/>
  <c r="I186" i="10" s="1"/>
  <c r="I194" i="6"/>
  <c r="H186" i="10" s="1"/>
  <c r="H194" i="6"/>
  <c r="G186" i="10" s="1"/>
  <c r="G194" i="6"/>
  <c r="F186" i="10" s="1"/>
  <c r="K205" i="6"/>
  <c r="J197" i="10" s="1"/>
  <c r="J205" i="6"/>
  <c r="I197" i="10" s="1"/>
  <c r="I205" i="6"/>
  <c r="H197" i="10" s="1"/>
  <c r="H205" i="6"/>
  <c r="G197" i="10" s="1"/>
  <c r="G205" i="6"/>
  <c r="F197" i="10" s="1"/>
  <c r="K213" i="6"/>
  <c r="J201" i="10" s="1"/>
  <c r="J213" i="6"/>
  <c r="I201" i="10" s="1"/>
  <c r="I213" i="6"/>
  <c r="H201" i="10" s="1"/>
  <c r="H213" i="6"/>
  <c r="G201" i="10" s="1"/>
  <c r="G213" i="6"/>
  <c r="F201" i="10" s="1"/>
  <c r="G221" i="6"/>
  <c r="F259" i="10" s="1"/>
  <c r="H221" i="6"/>
  <c r="G259" i="10" s="1"/>
  <c r="I221" i="6"/>
  <c r="H259" i="10" s="1"/>
  <c r="J221" i="6"/>
  <c r="I259" i="10" s="1"/>
  <c r="K221" i="6"/>
  <c r="J259" i="10" s="1"/>
  <c r="K253" i="6"/>
  <c r="J268" i="10" s="1"/>
  <c r="J253" i="6"/>
  <c r="I268" i="10" s="1"/>
  <c r="I253" i="6"/>
  <c r="H268" i="10" s="1"/>
  <c r="H253" i="6"/>
  <c r="G268" i="10" s="1"/>
  <c r="G253" i="6"/>
  <c r="F268" i="10" s="1"/>
  <c r="B253" i="6"/>
  <c r="K245" i="6"/>
  <c r="J245" i="6"/>
  <c r="I245" i="6"/>
  <c r="H245" i="6"/>
  <c r="G245" i="6"/>
  <c r="B245" i="6"/>
  <c r="K229" i="6"/>
  <c r="J326" i="10" s="1"/>
  <c r="J229" i="6"/>
  <c r="I326" i="10" s="1"/>
  <c r="I229" i="6"/>
  <c r="H229" i="6"/>
  <c r="G229" i="6"/>
  <c r="F326" i="10" s="1"/>
  <c r="K237" i="6"/>
  <c r="J348" i="10" s="1"/>
  <c r="J237" i="6"/>
  <c r="I348" i="10" s="1"/>
  <c r="I237" i="6"/>
  <c r="H348" i="10" s="1"/>
  <c r="H237" i="6"/>
  <c r="G348" i="10" s="1"/>
  <c r="G237" i="6"/>
  <c r="F348" i="10" s="1"/>
  <c r="F344" i="10" s="1"/>
  <c r="B237" i="6"/>
  <c r="B229" i="6"/>
  <c r="B221" i="6"/>
  <c r="B213" i="6"/>
  <c r="B205" i="6"/>
  <c r="E183" i="10"/>
  <c r="E182" i="10" s="1"/>
  <c r="E137" i="10"/>
  <c r="B194" i="6"/>
  <c r="B188" i="6"/>
  <c r="B180" i="6"/>
  <c r="B174" i="6"/>
  <c r="B168" i="6"/>
  <c r="B162" i="6"/>
  <c r="B156" i="6"/>
  <c r="B150" i="6"/>
  <c r="E102" i="10"/>
  <c r="E114" i="10" s="1"/>
  <c r="E77" i="10"/>
  <c r="E89" i="10" s="1"/>
  <c r="E61" i="10"/>
  <c r="F335" i="10" l="1"/>
  <c r="G335" i="10" s="1"/>
  <c r="H335" i="10" s="1"/>
  <c r="G9" i="12"/>
  <c r="H9" i="12" s="1"/>
  <c r="I9" i="12" s="1"/>
  <c r="J9" i="12" s="1"/>
  <c r="K9" i="12" s="1"/>
  <c r="E354" i="10"/>
  <c r="D62" i="11"/>
  <c r="E58" i="11"/>
  <c r="F53" i="11"/>
  <c r="F89" i="11" s="1"/>
  <c r="F57" i="11"/>
  <c r="E53" i="11"/>
  <c r="E57" i="11"/>
  <c r="E52" i="11"/>
  <c r="E56" i="11"/>
  <c r="E60" i="11" s="1"/>
  <c r="E77" i="11"/>
  <c r="F76" i="11"/>
  <c r="E76" i="11"/>
  <c r="E78" i="11" s="1"/>
  <c r="E73" i="11"/>
  <c r="E50" i="11"/>
  <c r="E86" i="11" s="1"/>
  <c r="F68" i="11"/>
  <c r="F90" i="11" s="1"/>
  <c r="E72" i="11"/>
  <c r="F49" i="11"/>
  <c r="E68" i="11"/>
  <c r="F71" i="11"/>
  <c r="F74" i="11" s="1"/>
  <c r="F50" i="11"/>
  <c r="F86" i="11" s="1"/>
  <c r="E49" i="11"/>
  <c r="F67" i="11"/>
  <c r="F91" i="11" s="1"/>
  <c r="E71" i="11"/>
  <c r="E67" i="11"/>
  <c r="F66" i="11"/>
  <c r="F51" i="11"/>
  <c r="F85" i="11" s="1"/>
  <c r="E51" i="11"/>
  <c r="E85" i="11" s="1"/>
  <c r="E66" i="11"/>
  <c r="D69" i="11"/>
  <c r="D80" i="11" s="1"/>
  <c r="F52" i="11"/>
  <c r="F88" i="11" s="1"/>
  <c r="F56" i="11"/>
  <c r="F60" i="11" s="1"/>
  <c r="F77" i="11"/>
  <c r="F340" i="10"/>
  <c r="F327" i="10" s="1"/>
  <c r="G340" i="10"/>
  <c r="G327" i="10" s="1"/>
  <c r="H90" i="12" s="1"/>
  <c r="J334" i="10"/>
  <c r="F346" i="10"/>
  <c r="G344" i="10"/>
  <c r="E20" i="11"/>
  <c r="F32" i="11"/>
  <c r="E32" i="11"/>
  <c r="E27" i="11"/>
  <c r="F27" i="11"/>
  <c r="E22" i="11"/>
  <c r="E28" i="11"/>
  <c r="E21" i="11"/>
  <c r="D15" i="11"/>
  <c r="E13" i="11"/>
  <c r="E39" i="11" s="1"/>
  <c r="E14" i="11"/>
  <c r="E36" i="11"/>
  <c r="G9" i="11"/>
  <c r="H9" i="11" s="1"/>
  <c r="I9" i="11" s="1"/>
  <c r="J9" i="11" s="1"/>
  <c r="K9" i="11" s="1"/>
  <c r="F22" i="11"/>
  <c r="F18" i="11"/>
  <c r="F20" i="11"/>
  <c r="F13" i="11"/>
  <c r="F36" i="11"/>
  <c r="F14" i="11"/>
  <c r="F23" i="11"/>
  <c r="F19" i="11"/>
  <c r="F21" i="11"/>
  <c r="E23" i="11"/>
  <c r="E64" i="10"/>
  <c r="E58" i="10"/>
  <c r="E55" i="10"/>
  <c r="F229" i="10"/>
  <c r="E224" i="10"/>
  <c r="E253" i="10" s="1"/>
  <c r="G136" i="10"/>
  <c r="H136" i="10" s="1"/>
  <c r="I136" i="10" s="1"/>
  <c r="J136" i="10" s="1"/>
  <c r="G79" i="10"/>
  <c r="H79" i="10" s="1"/>
  <c r="I79" i="10" s="1"/>
  <c r="J79" i="10" s="1"/>
  <c r="G181" i="10"/>
  <c r="G82" i="10"/>
  <c r="H82" i="10" s="1"/>
  <c r="I82" i="10" s="1"/>
  <c r="J82" i="10" s="1"/>
  <c r="G104" i="10"/>
  <c r="H104" i="10" s="1"/>
  <c r="F137" i="10"/>
  <c r="G135" i="10"/>
  <c r="G88" i="10"/>
  <c r="H88" i="10" s="1"/>
  <c r="I88" i="10" s="1"/>
  <c r="J88" i="10" s="1"/>
  <c r="E105" i="10"/>
  <c r="E108" i="10"/>
  <c r="G113" i="10"/>
  <c r="G107" i="10"/>
  <c r="G110" i="10"/>
  <c r="E111" i="10"/>
  <c r="E80" i="10"/>
  <c r="E83" i="10"/>
  <c r="E86" i="10"/>
  <c r="G85" i="10"/>
  <c r="F124" i="10"/>
  <c r="B140" i="6"/>
  <c r="B134" i="6"/>
  <c r="B128" i="6"/>
  <c r="B122" i="6"/>
  <c r="B116" i="6"/>
  <c r="B108" i="6"/>
  <c r="B102" i="6"/>
  <c r="B96" i="6"/>
  <c r="B90" i="6"/>
  <c r="J71" i="10"/>
  <c r="I71" i="10"/>
  <c r="H71" i="10"/>
  <c r="G71" i="10"/>
  <c r="F71" i="10"/>
  <c r="F63" i="10" s="1"/>
  <c r="B81" i="6"/>
  <c r="J70" i="10"/>
  <c r="I70" i="10"/>
  <c r="H70" i="10"/>
  <c r="G70" i="10"/>
  <c r="F70" i="10"/>
  <c r="F60" i="10" s="1"/>
  <c r="B75" i="6"/>
  <c r="J69" i="10"/>
  <c r="I69" i="10"/>
  <c r="H69" i="10"/>
  <c r="G69" i="10"/>
  <c r="F69" i="10"/>
  <c r="F57" i="10" s="1"/>
  <c r="B69" i="6"/>
  <c r="J68" i="10"/>
  <c r="I68" i="10"/>
  <c r="H68" i="10"/>
  <c r="G68" i="10"/>
  <c r="F68" i="10"/>
  <c r="F54" i="10" s="1"/>
  <c r="B63" i="6"/>
  <c r="J40" i="10"/>
  <c r="I40" i="10"/>
  <c r="H40" i="10"/>
  <c r="G40" i="10"/>
  <c r="F40" i="10"/>
  <c r="F36" i="10" s="1"/>
  <c r="F102" i="10" s="1"/>
  <c r="F105" i="10" s="1"/>
  <c r="J39" i="10"/>
  <c r="I39" i="10"/>
  <c r="H39" i="10"/>
  <c r="G39" i="10"/>
  <c r="F39" i="10"/>
  <c r="F35" i="10" s="1"/>
  <c r="J30" i="10"/>
  <c r="I30" i="10"/>
  <c r="H30" i="10"/>
  <c r="G30" i="10"/>
  <c r="F30" i="10"/>
  <c r="J29" i="10"/>
  <c r="I29" i="10"/>
  <c r="H29" i="10"/>
  <c r="G29" i="10"/>
  <c r="F29" i="10"/>
  <c r="F25" i="10" s="1"/>
  <c r="J20" i="10"/>
  <c r="I20" i="10"/>
  <c r="H20" i="10"/>
  <c r="G20" i="10"/>
  <c r="F20" i="10"/>
  <c r="F16" i="10" s="1"/>
  <c r="J19" i="10"/>
  <c r="I19" i="10"/>
  <c r="H19" i="10"/>
  <c r="E37" i="10"/>
  <c r="E116" i="10" s="1"/>
  <c r="E27" i="10"/>
  <c r="E17" i="10"/>
  <c r="F9" i="10"/>
  <c r="G9" i="10" s="1"/>
  <c r="H9" i="10" s="1"/>
  <c r="I9" i="10" s="1"/>
  <c r="J9" i="10" s="1"/>
  <c r="B53" i="6"/>
  <c r="B47" i="6"/>
  <c r="B39" i="6"/>
  <c r="B33" i="6"/>
  <c r="B25" i="6"/>
  <c r="B19" i="6"/>
  <c r="G9" i="6"/>
  <c r="H9" i="6" s="1"/>
  <c r="I9" i="6" s="1"/>
  <c r="J9" i="6" s="1"/>
  <c r="K9" i="6" s="1"/>
  <c r="G38" i="2"/>
  <c r="F38" i="2"/>
  <c r="E38" i="2"/>
  <c r="G34" i="2"/>
  <c r="F34" i="2"/>
  <c r="E34" i="2"/>
  <c r="G29" i="2"/>
  <c r="F29" i="2"/>
  <c r="F40" i="2" s="1"/>
  <c r="E29" i="2"/>
  <c r="G20" i="2"/>
  <c r="F20" i="2"/>
  <c r="E20" i="2"/>
  <c r="G14" i="2"/>
  <c r="G22" i="2" s="1"/>
  <c r="F14" i="2"/>
  <c r="E14" i="2"/>
  <c r="G22" i="1"/>
  <c r="F22" i="1"/>
  <c r="E22" i="1"/>
  <c r="G10" i="1"/>
  <c r="F10" i="1"/>
  <c r="E10" i="1"/>
  <c r="E24" i="1" s="1"/>
  <c r="H340" i="10" l="1"/>
  <c r="H327" i="10" s="1"/>
  <c r="I90" i="12" s="1"/>
  <c r="I335" i="10"/>
  <c r="J335" i="10" s="1"/>
  <c r="F52" i="10"/>
  <c r="F17" i="10"/>
  <c r="F328" i="10"/>
  <c r="F329" i="10" s="1"/>
  <c r="G90" i="12"/>
  <c r="G71" i="11"/>
  <c r="F352" i="10"/>
  <c r="F254" i="10" s="1"/>
  <c r="G325" i="10"/>
  <c r="G328" i="10" s="1"/>
  <c r="H325" i="10" s="1"/>
  <c r="F330" i="10"/>
  <c r="I340" i="10"/>
  <c r="I327" i="10" s="1"/>
  <c r="J90" i="12" s="1"/>
  <c r="G32" i="11"/>
  <c r="J340" i="10"/>
  <c r="J327" i="10" s="1"/>
  <c r="K90" i="12" s="1"/>
  <c r="F62" i="11"/>
  <c r="E69" i="11"/>
  <c r="E87" i="11"/>
  <c r="G76" i="11"/>
  <c r="H76" i="11" s="1"/>
  <c r="I76" i="11" s="1"/>
  <c r="J76" i="11" s="1"/>
  <c r="K76" i="11" s="1"/>
  <c r="F78" i="11"/>
  <c r="E91" i="11"/>
  <c r="E88" i="11"/>
  <c r="E54" i="11"/>
  <c r="E84" i="11" s="1"/>
  <c r="E90" i="11"/>
  <c r="F87" i="11"/>
  <c r="F69" i="11"/>
  <c r="F80" i="11" s="1"/>
  <c r="E74" i="11"/>
  <c r="E80" i="11" s="1"/>
  <c r="E89" i="11"/>
  <c r="F54" i="11"/>
  <c r="D84" i="11"/>
  <c r="H71" i="11"/>
  <c r="G330" i="10"/>
  <c r="G329" i="10"/>
  <c r="H344" i="10"/>
  <c r="G346" i="10"/>
  <c r="N33" i="11"/>
  <c r="M33" i="11"/>
  <c r="D24" i="11"/>
  <c r="D40" i="11"/>
  <c r="F39" i="11"/>
  <c r="E15" i="11"/>
  <c r="F15" i="11"/>
  <c r="F61" i="10"/>
  <c r="F58" i="10"/>
  <c r="F64" i="10"/>
  <c r="F55" i="10"/>
  <c r="G229" i="10"/>
  <c r="H181" i="10"/>
  <c r="E91" i="10"/>
  <c r="F141" i="10"/>
  <c r="H135" i="10"/>
  <c r="G137" i="10"/>
  <c r="E97" i="10"/>
  <c r="E98" i="10" s="1"/>
  <c r="G60" i="10"/>
  <c r="G54" i="10"/>
  <c r="G63" i="10"/>
  <c r="E118" i="10"/>
  <c r="E125" i="10" s="1"/>
  <c r="G57" i="10"/>
  <c r="H57" i="10" s="1"/>
  <c r="I104" i="10"/>
  <c r="F111" i="10"/>
  <c r="H110" i="10"/>
  <c r="E66" i="10"/>
  <c r="H107" i="10"/>
  <c r="F114" i="10"/>
  <c r="F108" i="10"/>
  <c r="H113" i="10"/>
  <c r="F26" i="10"/>
  <c r="F27" i="10" s="1"/>
  <c r="F31" i="10" s="1"/>
  <c r="H85" i="10"/>
  <c r="E44" i="10"/>
  <c r="G35" i="10"/>
  <c r="H35" i="10" s="1"/>
  <c r="I35" i="10" s="1"/>
  <c r="J35" i="10" s="1"/>
  <c r="F21" i="10"/>
  <c r="G25" i="10"/>
  <c r="H25" i="10" s="1"/>
  <c r="I25" i="10" s="1"/>
  <c r="J25" i="10" s="1"/>
  <c r="G36" i="10"/>
  <c r="F37" i="10"/>
  <c r="F116" i="10" s="1"/>
  <c r="G16" i="10"/>
  <c r="G52" i="10" s="1"/>
  <c r="G19" i="10"/>
  <c r="E22" i="2"/>
  <c r="G40" i="2"/>
  <c r="F22" i="2"/>
  <c r="E40" i="2"/>
  <c r="F24" i="1"/>
  <c r="F26" i="1" s="1"/>
  <c r="G24" i="1"/>
  <c r="G26" i="1"/>
  <c r="G27" i="1" s="1"/>
  <c r="E26" i="1"/>
  <c r="E27" i="1" s="1"/>
  <c r="G89" i="12" l="1"/>
  <c r="G91" i="12" s="1"/>
  <c r="G94" i="12"/>
  <c r="H34" i="12"/>
  <c r="H30" i="12"/>
  <c r="H84" i="12"/>
  <c r="G107" i="11"/>
  <c r="G30" i="12"/>
  <c r="G84" i="12"/>
  <c r="G34" i="12"/>
  <c r="G352" i="10"/>
  <c r="G254" i="10" s="1"/>
  <c r="H32" i="11"/>
  <c r="G96" i="11"/>
  <c r="G109" i="11"/>
  <c r="H107" i="11"/>
  <c r="F84" i="11"/>
  <c r="E62" i="11"/>
  <c r="F66" i="10"/>
  <c r="F72" i="10" s="1"/>
  <c r="F73" i="10" s="1"/>
  <c r="E250" i="10"/>
  <c r="E304" i="10"/>
  <c r="E306" i="10" s="1"/>
  <c r="F306" i="10" s="1"/>
  <c r="G306" i="10" s="1"/>
  <c r="H306" i="10" s="1"/>
  <c r="I306" i="10" s="1"/>
  <c r="E299" i="10"/>
  <c r="F301" i="10" s="1"/>
  <c r="G301" i="10" s="1"/>
  <c r="H301" i="10" s="1"/>
  <c r="I301" i="10" s="1"/>
  <c r="J301" i="10" s="1"/>
  <c r="E289" i="10"/>
  <c r="F291" i="10" s="1"/>
  <c r="G291" i="10" s="1"/>
  <c r="H291" i="10" s="1"/>
  <c r="I291" i="10" s="1"/>
  <c r="J291" i="10" s="1"/>
  <c r="E284" i="10"/>
  <c r="E286" i="10" s="1"/>
  <c r="F286" i="10" s="1"/>
  <c r="G286" i="10" s="1"/>
  <c r="H286" i="10" s="1"/>
  <c r="I286" i="10" s="1"/>
  <c r="J286" i="10" s="1"/>
  <c r="E274" i="10"/>
  <c r="F276" i="10" s="1"/>
  <c r="G276" i="10" s="1"/>
  <c r="H276" i="10" s="1"/>
  <c r="I276" i="10" s="1"/>
  <c r="J276" i="10" s="1"/>
  <c r="I344" i="10"/>
  <c r="J344" i="10" s="1"/>
  <c r="H346" i="10"/>
  <c r="F24" i="11"/>
  <c r="F40" i="11"/>
  <c r="E24" i="11"/>
  <c r="E40" i="11"/>
  <c r="D29" i="11"/>
  <c r="D41" i="11"/>
  <c r="H328" i="10"/>
  <c r="G58" i="10"/>
  <c r="G64" i="10"/>
  <c r="G61" i="10"/>
  <c r="H54" i="10"/>
  <c r="I54" i="10" s="1"/>
  <c r="G55" i="10"/>
  <c r="E72" i="10"/>
  <c r="E73" i="10" s="1"/>
  <c r="E128" i="10"/>
  <c r="H229" i="10"/>
  <c r="E197" i="10"/>
  <c r="E201" i="10"/>
  <c r="E186" i="10"/>
  <c r="E187" i="10"/>
  <c r="I181" i="10"/>
  <c r="E142" i="10"/>
  <c r="E178" i="10"/>
  <c r="E173" i="10"/>
  <c r="E168" i="10"/>
  <c r="E163" i="10"/>
  <c r="E147" i="10"/>
  <c r="E146" i="10"/>
  <c r="H60" i="10"/>
  <c r="G141" i="10"/>
  <c r="I135" i="10"/>
  <c r="H137" i="10"/>
  <c r="E126" i="10"/>
  <c r="H63" i="10"/>
  <c r="I63" i="10" s="1"/>
  <c r="I107" i="10"/>
  <c r="I113" i="10"/>
  <c r="F118" i="10"/>
  <c r="F125" i="10" s="1"/>
  <c r="I110" i="10"/>
  <c r="J104" i="10"/>
  <c r="F77" i="10"/>
  <c r="G26" i="10"/>
  <c r="H26" i="10" s="1"/>
  <c r="H77" i="10" s="1"/>
  <c r="I85" i="10"/>
  <c r="I57" i="10"/>
  <c r="H36" i="10"/>
  <c r="H37" i="10" s="1"/>
  <c r="H116" i="10" s="1"/>
  <c r="G102" i="10"/>
  <c r="G37" i="10"/>
  <c r="G116" i="10" s="1"/>
  <c r="G15" i="10"/>
  <c r="F44" i="10"/>
  <c r="F41" i="10"/>
  <c r="H16" i="10"/>
  <c r="H52" i="10" s="1"/>
  <c r="F27" i="1"/>
  <c r="H15" i="10" l="1"/>
  <c r="I15" i="10" s="1"/>
  <c r="J15" i="10" s="1"/>
  <c r="H94" i="12"/>
  <c r="H89" i="12"/>
  <c r="H91" i="12" s="1"/>
  <c r="E85" i="12"/>
  <c r="E86" i="12" s="1"/>
  <c r="E48" i="12"/>
  <c r="E50" i="12" s="1"/>
  <c r="E24" i="14"/>
  <c r="H96" i="11"/>
  <c r="H109" i="11"/>
  <c r="H330" i="10"/>
  <c r="I71" i="11"/>
  <c r="H352" i="10"/>
  <c r="J346" i="10"/>
  <c r="I346" i="10"/>
  <c r="F250" i="10"/>
  <c r="F299" i="10"/>
  <c r="F304" i="10"/>
  <c r="F305" i="10" s="1"/>
  <c r="F284" i="10"/>
  <c r="F285" i="10" s="1"/>
  <c r="F274" i="10"/>
  <c r="F275" i="10" s="1"/>
  <c r="F289" i="10"/>
  <c r="G13" i="11"/>
  <c r="E279" i="10"/>
  <c r="E281" i="10" s="1"/>
  <c r="F281" i="10" s="1"/>
  <c r="G281" i="10" s="1"/>
  <c r="H281" i="10" s="1"/>
  <c r="I281" i="10" s="1"/>
  <c r="J281" i="10" s="1"/>
  <c r="E294" i="10"/>
  <c r="F296" i="10" s="1"/>
  <c r="G296" i="10" s="1"/>
  <c r="H296" i="10" s="1"/>
  <c r="I296" i="10" s="1"/>
  <c r="J296" i="10" s="1"/>
  <c r="D34" i="11"/>
  <c r="D42" i="11"/>
  <c r="E29" i="11"/>
  <c r="E41" i="11"/>
  <c r="F29" i="11"/>
  <c r="F41" i="11"/>
  <c r="H329" i="10"/>
  <c r="I325" i="10"/>
  <c r="E129" i="10"/>
  <c r="E130" i="10" s="1"/>
  <c r="E251" i="10"/>
  <c r="H58" i="10"/>
  <c r="H64" i="10"/>
  <c r="H61" i="10"/>
  <c r="H55" i="10"/>
  <c r="I60" i="10"/>
  <c r="J60" i="10" s="1"/>
  <c r="I229" i="10"/>
  <c r="F182" i="10"/>
  <c r="F183" i="10" s="1"/>
  <c r="G19" i="11" s="1"/>
  <c r="G19" i="14" s="1"/>
  <c r="F200" i="10"/>
  <c r="F196" i="10"/>
  <c r="G66" i="10"/>
  <c r="J181" i="10"/>
  <c r="E150" i="10"/>
  <c r="E153" i="10" s="1"/>
  <c r="J150" i="10"/>
  <c r="I150" i="10"/>
  <c r="H150" i="10"/>
  <c r="G150" i="10"/>
  <c r="F150" i="10"/>
  <c r="F172" i="10"/>
  <c r="G18" i="11" s="1"/>
  <c r="F167" i="10"/>
  <c r="G22" i="11" s="1"/>
  <c r="F147" i="10"/>
  <c r="F146" i="10"/>
  <c r="F162" i="10"/>
  <c r="G23" i="11" s="1"/>
  <c r="G23" i="14" s="1"/>
  <c r="F177" i="10"/>
  <c r="G20" i="11" s="1"/>
  <c r="G20" i="14" s="1"/>
  <c r="G149" i="10"/>
  <c r="F149" i="10"/>
  <c r="E149" i="10"/>
  <c r="E152" i="10" s="1"/>
  <c r="I149" i="10"/>
  <c r="H149" i="10"/>
  <c r="J149" i="10"/>
  <c r="F45" i="10"/>
  <c r="F142" i="10"/>
  <c r="J135" i="10"/>
  <c r="J137" i="10" s="1"/>
  <c r="I137" i="10"/>
  <c r="H141" i="10"/>
  <c r="G27" i="10"/>
  <c r="G31" i="10" s="1"/>
  <c r="G105" i="10"/>
  <c r="G111" i="10"/>
  <c r="G108" i="10"/>
  <c r="G114" i="10"/>
  <c r="G77" i="10"/>
  <c r="G89" i="10" s="1"/>
  <c r="F126" i="10"/>
  <c r="J113" i="10"/>
  <c r="J110" i="10"/>
  <c r="J107" i="10"/>
  <c r="H80" i="10"/>
  <c r="H89" i="10"/>
  <c r="H83" i="10"/>
  <c r="H86" i="10"/>
  <c r="F89" i="10"/>
  <c r="F80" i="10"/>
  <c r="F83" i="10"/>
  <c r="F86" i="10"/>
  <c r="J85" i="10"/>
  <c r="J63" i="10"/>
  <c r="J54" i="10"/>
  <c r="J57" i="10"/>
  <c r="H27" i="10"/>
  <c r="I26" i="10"/>
  <c r="I77" i="10" s="1"/>
  <c r="I86" i="10" s="1"/>
  <c r="I36" i="10"/>
  <c r="H102" i="10"/>
  <c r="G17" i="10"/>
  <c r="G21" i="10" s="1"/>
  <c r="H41" i="10"/>
  <c r="G41" i="10"/>
  <c r="I16" i="10"/>
  <c r="I52" i="10" s="1"/>
  <c r="H17" i="10"/>
  <c r="I30" i="12" l="1"/>
  <c r="I34" i="12"/>
  <c r="I84" i="12"/>
  <c r="G22" i="14"/>
  <c r="G18" i="14"/>
  <c r="G70" i="12"/>
  <c r="G74" i="12" s="1"/>
  <c r="G53" i="12"/>
  <c r="G13" i="14"/>
  <c r="G49" i="12"/>
  <c r="G57" i="12"/>
  <c r="G33" i="14"/>
  <c r="G32" i="14"/>
  <c r="G45" i="12"/>
  <c r="E29" i="14"/>
  <c r="E88" i="12"/>
  <c r="E91" i="12" s="1"/>
  <c r="E52" i="12"/>
  <c r="E54" i="12" s="1"/>
  <c r="E93" i="12"/>
  <c r="E95" i="12" s="1"/>
  <c r="H254" i="10"/>
  <c r="I32" i="11"/>
  <c r="F211" i="10"/>
  <c r="G230" i="10" s="1"/>
  <c r="G104" i="11"/>
  <c r="F25" i="15" s="1"/>
  <c r="F206" i="10"/>
  <c r="I219" i="10" s="1"/>
  <c r="G103" i="11"/>
  <c r="F24" i="15" s="1"/>
  <c r="I107" i="11"/>
  <c r="G51" i="11"/>
  <c r="G85" i="11" s="1"/>
  <c r="G24" i="12" s="1"/>
  <c r="F311" i="10"/>
  <c r="G52" i="11"/>
  <c r="F312" i="10"/>
  <c r="G68" i="11"/>
  <c r="F318" i="10"/>
  <c r="H66" i="10"/>
  <c r="H72" i="10" s="1"/>
  <c r="H73" i="10" s="1"/>
  <c r="G39" i="11"/>
  <c r="F187" i="10"/>
  <c r="F34" i="11"/>
  <c r="F42" i="11"/>
  <c r="E34" i="11"/>
  <c r="E34" i="14" s="1"/>
  <c r="E42" i="11"/>
  <c r="D37" i="11"/>
  <c r="D44" i="11" s="1"/>
  <c r="D43" i="11"/>
  <c r="I328" i="10"/>
  <c r="I352" i="10" s="1"/>
  <c r="I55" i="10"/>
  <c r="I58" i="10"/>
  <c r="I64" i="10"/>
  <c r="I61" i="10"/>
  <c r="J229" i="10"/>
  <c r="E155" i="10"/>
  <c r="E156" i="10" s="1"/>
  <c r="F152" i="10"/>
  <c r="F153" i="10"/>
  <c r="G80" i="10"/>
  <c r="I141" i="10"/>
  <c r="J141" i="10"/>
  <c r="H31" i="10"/>
  <c r="G83" i="10"/>
  <c r="G86" i="10"/>
  <c r="H105" i="10"/>
  <c r="H108" i="10"/>
  <c r="H114" i="10"/>
  <c r="H111" i="10"/>
  <c r="G118" i="10"/>
  <c r="I80" i="10"/>
  <c r="I83" i="10"/>
  <c r="I89" i="10"/>
  <c r="F91" i="10"/>
  <c r="H91" i="10"/>
  <c r="H21" i="10"/>
  <c r="G72" i="10"/>
  <c r="G73" i="10" s="1"/>
  <c r="I27" i="10"/>
  <c r="I31" i="10" s="1"/>
  <c r="J26" i="10"/>
  <c r="J77" i="10" s="1"/>
  <c r="I102" i="10"/>
  <c r="J36" i="10"/>
  <c r="I37" i="10"/>
  <c r="G44" i="10"/>
  <c r="H44" i="10"/>
  <c r="I17" i="10"/>
  <c r="I21" i="10" s="1"/>
  <c r="J16" i="10"/>
  <c r="I89" i="12" l="1"/>
  <c r="I91" i="12" s="1"/>
  <c r="I94" i="12"/>
  <c r="G90" i="11"/>
  <c r="G88" i="11"/>
  <c r="G19" i="12"/>
  <c r="J230" i="10"/>
  <c r="F230" i="10"/>
  <c r="F235" i="10" s="1"/>
  <c r="I230" i="10"/>
  <c r="I254" i="10"/>
  <c r="J32" i="11"/>
  <c r="G28" i="11"/>
  <c r="F212" i="10"/>
  <c r="F213" i="10" s="1"/>
  <c r="I96" i="11"/>
  <c r="I109" i="11"/>
  <c r="H230" i="10"/>
  <c r="H219" i="10"/>
  <c r="J219" i="10"/>
  <c r="G219" i="10"/>
  <c r="F219" i="10"/>
  <c r="F224" i="10" s="1"/>
  <c r="I66" i="10"/>
  <c r="I72" i="10" s="1"/>
  <c r="I73" i="10" s="1"/>
  <c r="F128" i="10"/>
  <c r="F251" i="10" s="1"/>
  <c r="J71" i="11"/>
  <c r="I330" i="10"/>
  <c r="H250" i="10"/>
  <c r="H274" i="10"/>
  <c r="H275" i="10" s="1"/>
  <c r="I13" i="11"/>
  <c r="H304" i="10"/>
  <c r="H305" i="10" s="1"/>
  <c r="H299" i="10"/>
  <c r="H300" i="10" s="1"/>
  <c r="H284" i="10"/>
  <c r="H285" i="10" s="1"/>
  <c r="H289" i="10"/>
  <c r="H290" i="10" s="1"/>
  <c r="G250" i="10"/>
  <c r="G284" i="10"/>
  <c r="G285" i="10" s="1"/>
  <c r="G304" i="10"/>
  <c r="G305" i="10" s="1"/>
  <c r="G299" i="10"/>
  <c r="G300" i="10" s="1"/>
  <c r="G274" i="10"/>
  <c r="G275" i="10" s="1"/>
  <c r="H13" i="11"/>
  <c r="G289" i="10"/>
  <c r="G290" i="10" s="1"/>
  <c r="E37" i="11"/>
  <c r="E43" i="11"/>
  <c r="F37" i="11"/>
  <c r="F43" i="11"/>
  <c r="I329" i="10"/>
  <c r="J325" i="10"/>
  <c r="H97" i="10"/>
  <c r="H98" i="10" s="1"/>
  <c r="F97" i="10"/>
  <c r="F98" i="10" s="1"/>
  <c r="H182" i="10"/>
  <c r="H183" i="10" s="1"/>
  <c r="I19" i="11" s="1"/>
  <c r="I19" i="14" s="1"/>
  <c r="H200" i="10"/>
  <c r="H196" i="10"/>
  <c r="G182" i="10"/>
  <c r="G183" i="10" s="1"/>
  <c r="H19" i="11" s="1"/>
  <c r="G200" i="10"/>
  <c r="G196" i="10"/>
  <c r="E158" i="10"/>
  <c r="E189" i="10" s="1"/>
  <c r="F155" i="10"/>
  <c r="F156" i="10" s="1"/>
  <c r="H142" i="10"/>
  <c r="H177" i="10"/>
  <c r="I20" i="11" s="1"/>
  <c r="H147" i="10"/>
  <c r="H153" i="10" s="1"/>
  <c r="H146" i="10"/>
  <c r="H152" i="10" s="1"/>
  <c r="H162" i="10"/>
  <c r="I23" i="11" s="1"/>
  <c r="I23" i="14" s="1"/>
  <c r="H167" i="10"/>
  <c r="I22" i="11" s="1"/>
  <c r="I22" i="14" s="1"/>
  <c r="H172" i="10"/>
  <c r="I18" i="11" s="1"/>
  <c r="I18" i="14" s="1"/>
  <c r="G147" i="10"/>
  <c r="G153" i="10" s="1"/>
  <c r="G146" i="10"/>
  <c r="G152" i="10" s="1"/>
  <c r="G162" i="10"/>
  <c r="H23" i="11" s="1"/>
  <c r="G177" i="10"/>
  <c r="H20" i="11" s="1"/>
  <c r="G167" i="10"/>
  <c r="H22" i="11" s="1"/>
  <c r="G172" i="10"/>
  <c r="H18" i="11" s="1"/>
  <c r="G91" i="10"/>
  <c r="G128" i="10" s="1"/>
  <c r="G45" i="10"/>
  <c r="G142" i="10"/>
  <c r="I91" i="10"/>
  <c r="I41" i="10"/>
  <c r="I116" i="10"/>
  <c r="G125" i="10"/>
  <c r="G126" i="10" s="1"/>
  <c r="I105" i="10"/>
  <c r="I108" i="10"/>
  <c r="I111" i="10"/>
  <c r="I114" i="10"/>
  <c r="H118" i="10"/>
  <c r="H128" i="10" s="1"/>
  <c r="J80" i="10"/>
  <c r="J89" i="10"/>
  <c r="J83" i="10"/>
  <c r="J86" i="10"/>
  <c r="J27" i="10"/>
  <c r="J37" i="10"/>
  <c r="J102" i="10"/>
  <c r="J17" i="10"/>
  <c r="J52" i="10"/>
  <c r="H45" i="10"/>
  <c r="I44" i="10"/>
  <c r="J34" i="12" l="1"/>
  <c r="J84" i="12"/>
  <c r="J30" i="12"/>
  <c r="J89" i="12"/>
  <c r="J91" i="12" s="1"/>
  <c r="J94" i="12"/>
  <c r="H20" i="14"/>
  <c r="H23" i="14"/>
  <c r="I53" i="12"/>
  <c r="I33" i="14"/>
  <c r="I57" i="12"/>
  <c r="I45" i="12"/>
  <c r="I13" i="14"/>
  <c r="I14" i="14"/>
  <c r="I70" i="12"/>
  <c r="I74" i="12" s="1"/>
  <c r="I32" i="14"/>
  <c r="I49" i="12"/>
  <c r="F15" i="15"/>
  <c r="F20" i="15" s="1"/>
  <c r="G28" i="14"/>
  <c r="H53" i="12"/>
  <c r="H13" i="14"/>
  <c r="H57" i="12"/>
  <c r="H33" i="14"/>
  <c r="H45" i="12"/>
  <c r="H70" i="12"/>
  <c r="H74" i="12" s="1"/>
  <c r="H32" i="14"/>
  <c r="H49" i="12"/>
  <c r="I20" i="14"/>
  <c r="H18" i="14"/>
  <c r="H22" i="14"/>
  <c r="H19" i="14"/>
  <c r="E44" i="11"/>
  <c r="E64" i="12"/>
  <c r="E66" i="12" s="1"/>
  <c r="E60" i="12"/>
  <c r="E62" i="12" s="1"/>
  <c r="E37" i="14"/>
  <c r="E56" i="12"/>
  <c r="E58" i="12" s="1"/>
  <c r="G99" i="11"/>
  <c r="G210" i="10"/>
  <c r="G57" i="11"/>
  <c r="J96" i="11"/>
  <c r="J109" i="11"/>
  <c r="G27" i="11"/>
  <c r="F207" i="10"/>
  <c r="F208" i="10" s="1"/>
  <c r="G205" i="10" s="1"/>
  <c r="F253" i="10"/>
  <c r="G56" i="11"/>
  <c r="H206" i="10"/>
  <c r="J221" i="10" s="1"/>
  <c r="I103" i="11"/>
  <c r="H24" i="15" s="1"/>
  <c r="G206" i="10"/>
  <c r="J220" i="10" s="1"/>
  <c r="H103" i="11"/>
  <c r="G24" i="15" s="1"/>
  <c r="G211" i="10"/>
  <c r="J231" i="10" s="1"/>
  <c r="H104" i="11"/>
  <c r="G25" i="15" s="1"/>
  <c r="H211" i="10"/>
  <c r="J232" i="10" s="1"/>
  <c r="I104" i="11"/>
  <c r="H25" i="15" s="1"/>
  <c r="J107" i="11"/>
  <c r="I53" i="11"/>
  <c r="I89" i="11" s="1"/>
  <c r="H313" i="10"/>
  <c r="I52" i="11"/>
  <c r="H312" i="10"/>
  <c r="I67" i="11"/>
  <c r="H317" i="10"/>
  <c r="I68" i="11"/>
  <c r="H318" i="10"/>
  <c r="I51" i="11"/>
  <c r="I85" i="11" s="1"/>
  <c r="I24" i="12" s="1"/>
  <c r="H311" i="10"/>
  <c r="H53" i="11"/>
  <c r="H89" i="11" s="1"/>
  <c r="H51" i="11"/>
  <c r="H85" i="11" s="1"/>
  <c r="H24" i="12" s="1"/>
  <c r="G311" i="10"/>
  <c r="H67" i="11"/>
  <c r="H68" i="11"/>
  <c r="G318" i="10"/>
  <c r="H52" i="11"/>
  <c r="G312" i="10"/>
  <c r="G251" i="10"/>
  <c r="G294" i="10"/>
  <c r="G295" i="10" s="1"/>
  <c r="G279" i="10"/>
  <c r="G280" i="10" s="1"/>
  <c r="H14" i="11"/>
  <c r="H78" i="12" s="1"/>
  <c r="I250" i="10"/>
  <c r="I304" i="10"/>
  <c r="I305" i="10" s="1"/>
  <c r="I284" i="10"/>
  <c r="I285" i="10" s="1"/>
  <c r="I289" i="10"/>
  <c r="I290" i="10" s="1"/>
  <c r="I299" i="10"/>
  <c r="I300" i="10" s="1"/>
  <c r="I274" i="10"/>
  <c r="I275" i="10" s="1"/>
  <c r="J13" i="11"/>
  <c r="I39" i="11"/>
  <c r="H187" i="10"/>
  <c r="G187" i="10"/>
  <c r="H39" i="11"/>
  <c r="H251" i="10"/>
  <c r="H294" i="10"/>
  <c r="H295" i="10" s="1"/>
  <c r="H279" i="10"/>
  <c r="H280" i="10" s="1"/>
  <c r="I14" i="11"/>
  <c r="I78" i="12" s="1"/>
  <c r="G14" i="11"/>
  <c r="F294" i="10"/>
  <c r="F295" i="10" s="1"/>
  <c r="F279" i="10"/>
  <c r="F280" i="10" s="1"/>
  <c r="F129" i="10"/>
  <c r="F130" i="10" s="1"/>
  <c r="F44" i="11"/>
  <c r="J328" i="10"/>
  <c r="E190" i="10"/>
  <c r="E252" i="10"/>
  <c r="E255" i="10" s="1"/>
  <c r="E257" i="10" s="1"/>
  <c r="J58" i="10"/>
  <c r="J64" i="10"/>
  <c r="J61" i="10"/>
  <c r="J55" i="10"/>
  <c r="H129" i="10"/>
  <c r="H130" i="10" s="1"/>
  <c r="I97" i="10"/>
  <c r="I98" i="10" s="1"/>
  <c r="G97" i="10"/>
  <c r="G98" i="10" s="1"/>
  <c r="G129" i="10"/>
  <c r="G130" i="10" s="1"/>
  <c r="H155" i="10"/>
  <c r="H156" i="10" s="1"/>
  <c r="I182" i="10"/>
  <c r="I183" i="10" s="1"/>
  <c r="J19" i="11" s="1"/>
  <c r="I200" i="10"/>
  <c r="I196" i="10"/>
  <c r="F158" i="10"/>
  <c r="G21" i="11" s="1"/>
  <c r="G21" i="14" s="1"/>
  <c r="G155" i="10"/>
  <c r="G158" i="10" s="1"/>
  <c r="H21" i="11" s="1"/>
  <c r="H21" i="14" s="1"/>
  <c r="I172" i="10"/>
  <c r="J18" i="11" s="1"/>
  <c r="I167" i="10"/>
  <c r="J22" i="11" s="1"/>
  <c r="J22" i="14" s="1"/>
  <c r="I147" i="10"/>
  <c r="I153" i="10" s="1"/>
  <c r="I146" i="10"/>
  <c r="I152" i="10" s="1"/>
  <c r="I177" i="10"/>
  <c r="J20" i="11" s="1"/>
  <c r="J20" i="14" s="1"/>
  <c r="I162" i="10"/>
  <c r="J23" i="11" s="1"/>
  <c r="J23" i="14" s="1"/>
  <c r="I45" i="10"/>
  <c r="I142" i="10"/>
  <c r="J41" i="10"/>
  <c r="J116" i="10"/>
  <c r="I118" i="10"/>
  <c r="I125" i="10" s="1"/>
  <c r="I126" i="10" s="1"/>
  <c r="J91" i="10"/>
  <c r="H125" i="10"/>
  <c r="H126" i="10" s="1"/>
  <c r="J105" i="10"/>
  <c r="J114" i="10"/>
  <c r="J111" i="10"/>
  <c r="J108" i="10"/>
  <c r="J21" i="10"/>
  <c r="J44" i="10"/>
  <c r="J31" i="10"/>
  <c r="H14" i="14" l="1"/>
  <c r="G78" i="12"/>
  <c r="G14" i="14"/>
  <c r="J18" i="14"/>
  <c r="J19" i="14"/>
  <c r="H90" i="11"/>
  <c r="J49" i="12"/>
  <c r="J57" i="12"/>
  <c r="J33" i="14"/>
  <c r="J45" i="12"/>
  <c r="J70" i="12"/>
  <c r="J74" i="12" s="1"/>
  <c r="J53" i="12"/>
  <c r="J32" i="14"/>
  <c r="J13" i="14"/>
  <c r="F14" i="15"/>
  <c r="F19" i="15" s="1"/>
  <c r="G27" i="14"/>
  <c r="H91" i="11"/>
  <c r="I91" i="11"/>
  <c r="I88" i="11"/>
  <c r="I19" i="12"/>
  <c r="H88" i="11"/>
  <c r="H19" i="12"/>
  <c r="I90" i="11"/>
  <c r="G98" i="11"/>
  <c r="G15" i="11"/>
  <c r="H15" i="11"/>
  <c r="I15" i="11"/>
  <c r="G60" i="11"/>
  <c r="H220" i="10"/>
  <c r="I220" i="10"/>
  <c r="I221" i="10"/>
  <c r="H221" i="10"/>
  <c r="I232" i="10"/>
  <c r="H231" i="10"/>
  <c r="G220" i="10"/>
  <c r="G224" i="10" s="1"/>
  <c r="H232" i="10"/>
  <c r="I231" i="10"/>
  <c r="G231" i="10"/>
  <c r="G235" i="10" s="1"/>
  <c r="H105" i="11"/>
  <c r="I105" i="11"/>
  <c r="I206" i="10"/>
  <c r="I222" i="10" s="1"/>
  <c r="J103" i="11"/>
  <c r="I24" i="15" s="1"/>
  <c r="I211" i="10"/>
  <c r="J233" i="10" s="1"/>
  <c r="J104" i="11"/>
  <c r="I25" i="15" s="1"/>
  <c r="I50" i="11"/>
  <c r="H310" i="10"/>
  <c r="H314" i="10" s="1"/>
  <c r="J53" i="11"/>
  <c r="J89" i="11" s="1"/>
  <c r="I313" i="10"/>
  <c r="I66" i="11"/>
  <c r="I69" i="11" s="1"/>
  <c r="H316" i="10"/>
  <c r="H319" i="10" s="1"/>
  <c r="J52" i="11"/>
  <c r="J19" i="12" s="1"/>
  <c r="I312" i="10"/>
  <c r="J68" i="11"/>
  <c r="I318" i="10"/>
  <c r="H50" i="11"/>
  <c r="G310" i="10"/>
  <c r="H66" i="11"/>
  <c r="H87" i="11" s="1"/>
  <c r="H25" i="12" s="1"/>
  <c r="G316" i="10"/>
  <c r="G50" i="11"/>
  <c r="F310" i="10"/>
  <c r="G66" i="11"/>
  <c r="G87" i="11" s="1"/>
  <c r="G25" i="12" s="1"/>
  <c r="F316" i="10"/>
  <c r="J51" i="11"/>
  <c r="J85" i="11" s="1"/>
  <c r="J24" i="12" s="1"/>
  <c r="I311" i="10"/>
  <c r="J67" i="11"/>
  <c r="I317" i="10"/>
  <c r="G189" i="10"/>
  <c r="G190" i="10" s="1"/>
  <c r="F189" i="10"/>
  <c r="F190" i="10" s="1"/>
  <c r="J88" i="11"/>
  <c r="J329" i="10"/>
  <c r="J330" i="10"/>
  <c r="K71" i="11"/>
  <c r="I187" i="10"/>
  <c r="J250" i="10"/>
  <c r="J299" i="10"/>
  <c r="J300" i="10" s="1"/>
  <c r="J274" i="10"/>
  <c r="J275" i="10" s="1"/>
  <c r="J304" i="10"/>
  <c r="J305" i="10" s="1"/>
  <c r="J284" i="10"/>
  <c r="J285" i="10" s="1"/>
  <c r="J289" i="10"/>
  <c r="J290" i="10" s="1"/>
  <c r="K13" i="11"/>
  <c r="J39" i="11"/>
  <c r="J352" i="10"/>
  <c r="J66" i="10"/>
  <c r="J72" i="10" s="1"/>
  <c r="J73" i="10" s="1"/>
  <c r="I128" i="10"/>
  <c r="I129" i="10" s="1"/>
  <c r="I130" i="10" s="1"/>
  <c r="H158" i="10"/>
  <c r="I21" i="11" s="1"/>
  <c r="I21" i="14" s="1"/>
  <c r="J97" i="10"/>
  <c r="J98" i="10" s="1"/>
  <c r="J182" i="10"/>
  <c r="J183" i="10" s="1"/>
  <c r="K19" i="11" s="1"/>
  <c r="J200" i="10"/>
  <c r="J196" i="10"/>
  <c r="I155" i="10"/>
  <c r="I156" i="10" s="1"/>
  <c r="G156" i="10"/>
  <c r="J142" i="10"/>
  <c r="J172" i="10"/>
  <c r="K18" i="11" s="1"/>
  <c r="J147" i="10"/>
  <c r="J153" i="10" s="1"/>
  <c r="J146" i="10"/>
  <c r="J152" i="10" s="1"/>
  <c r="J177" i="10"/>
  <c r="K20" i="11" s="1"/>
  <c r="K20" i="14" s="1"/>
  <c r="J162" i="10"/>
  <c r="K23" i="11" s="1"/>
  <c r="J167" i="10"/>
  <c r="K22" i="11" s="1"/>
  <c r="J45" i="10"/>
  <c r="J118" i="10"/>
  <c r="K19" i="14" l="1"/>
  <c r="K22" i="14"/>
  <c r="K23" i="14"/>
  <c r="H79" i="12"/>
  <c r="H80" i="12" s="1"/>
  <c r="H18" i="12"/>
  <c r="G86" i="11"/>
  <c r="G23" i="12" s="1"/>
  <c r="G26" i="12" s="1"/>
  <c r="G18" i="12"/>
  <c r="G79" i="12"/>
  <c r="G80" i="12"/>
  <c r="K34" i="12"/>
  <c r="K84" i="12"/>
  <c r="K30" i="12"/>
  <c r="K18" i="14"/>
  <c r="I86" i="11"/>
  <c r="I23" i="12" s="1"/>
  <c r="I26" i="12" s="1"/>
  <c r="I18" i="12"/>
  <c r="I79" i="12"/>
  <c r="I80" i="12" s="1"/>
  <c r="I15" i="14"/>
  <c r="I44" i="12"/>
  <c r="I46" i="12" s="1"/>
  <c r="G15" i="14"/>
  <c r="G44" i="12"/>
  <c r="G46" i="12" s="1"/>
  <c r="J91" i="11"/>
  <c r="I14" i="12"/>
  <c r="I20" i="12"/>
  <c r="K57" i="12"/>
  <c r="K70" i="12"/>
  <c r="K74" i="12" s="1"/>
  <c r="K49" i="12"/>
  <c r="K33" i="14"/>
  <c r="K13" i="14"/>
  <c r="K53" i="12"/>
  <c r="K45" i="12"/>
  <c r="H15" i="14"/>
  <c r="H44" i="12"/>
  <c r="H46" i="12" s="1"/>
  <c r="J90" i="11"/>
  <c r="H40" i="11"/>
  <c r="G40" i="11"/>
  <c r="G24" i="11"/>
  <c r="G41" i="11" s="1"/>
  <c r="H224" i="10"/>
  <c r="I27" i="11" s="1"/>
  <c r="I224" i="10"/>
  <c r="I207" i="10" s="1"/>
  <c r="H24" i="11"/>
  <c r="I40" i="11"/>
  <c r="J105" i="11"/>
  <c r="H235" i="10"/>
  <c r="H212" i="10" s="1"/>
  <c r="J27" i="11"/>
  <c r="G253" i="10"/>
  <c r="G212" i="10"/>
  <c r="G213" i="10" s="1"/>
  <c r="J254" i="10"/>
  <c r="K32" i="11"/>
  <c r="K32" i="14" s="1"/>
  <c r="J222" i="10"/>
  <c r="H27" i="11"/>
  <c r="G207" i="10"/>
  <c r="G208" i="10" s="1"/>
  <c r="H28" i="11"/>
  <c r="J211" i="10"/>
  <c r="J234" i="10" s="1"/>
  <c r="J235" i="10" s="1"/>
  <c r="J212" i="10" s="1"/>
  <c r="K104" i="11"/>
  <c r="J25" i="15" s="1"/>
  <c r="J206" i="10"/>
  <c r="J223" i="10" s="1"/>
  <c r="K103" i="11"/>
  <c r="J24" i="15" s="1"/>
  <c r="I233" i="10"/>
  <c r="I235" i="10" s="1"/>
  <c r="I253" i="10" s="1"/>
  <c r="K107" i="11"/>
  <c r="H69" i="11"/>
  <c r="K53" i="11"/>
  <c r="K89" i="11" s="1"/>
  <c r="J313" i="10"/>
  <c r="F252" i="10"/>
  <c r="F255" i="10" s="1"/>
  <c r="F256" i="10" s="1"/>
  <c r="K68" i="11"/>
  <c r="J318" i="10"/>
  <c r="K51" i="11"/>
  <c r="K85" i="11" s="1"/>
  <c r="K24" i="12" s="1"/>
  <c r="J311" i="10"/>
  <c r="G252" i="10"/>
  <c r="I87" i="11"/>
  <c r="I25" i="12" s="1"/>
  <c r="H86" i="11"/>
  <c r="H23" i="12" s="1"/>
  <c r="H26" i="12" s="1"/>
  <c r="H321" i="10"/>
  <c r="I100" i="11" s="1"/>
  <c r="H23" i="15" s="1"/>
  <c r="K52" i="11"/>
  <c r="J312" i="10"/>
  <c r="K67" i="11"/>
  <c r="J317" i="10"/>
  <c r="G29" i="11"/>
  <c r="M18" i="11"/>
  <c r="N18" i="11"/>
  <c r="I251" i="10"/>
  <c r="I279" i="10"/>
  <c r="I280" i="10" s="1"/>
  <c r="I294" i="10"/>
  <c r="I295" i="10" s="1"/>
  <c r="J14" i="11"/>
  <c r="J187" i="10"/>
  <c r="J128" i="10"/>
  <c r="M22" i="11"/>
  <c r="N22" i="11"/>
  <c r="M20" i="11"/>
  <c r="N20" i="11"/>
  <c r="H189" i="10"/>
  <c r="H190" i="10" s="1"/>
  <c r="I24" i="11"/>
  <c r="K39" i="11"/>
  <c r="M13" i="11"/>
  <c r="N13" i="11"/>
  <c r="M23" i="11"/>
  <c r="N23" i="11"/>
  <c r="J155" i="10"/>
  <c r="J156" i="10" s="1"/>
  <c r="I158" i="10"/>
  <c r="J21" i="11" s="1"/>
  <c r="J21" i="14" s="1"/>
  <c r="J125" i="10"/>
  <c r="J126" i="10" s="1"/>
  <c r="J78" i="12" l="1"/>
  <c r="J14" i="14"/>
  <c r="K89" i="12"/>
  <c r="K91" i="12" s="1"/>
  <c r="K94" i="12"/>
  <c r="H14" i="12"/>
  <c r="H20" i="12"/>
  <c r="H13" i="15"/>
  <c r="I85" i="12"/>
  <c r="I86" i="12" s="1"/>
  <c r="I48" i="12"/>
  <c r="I50" i="12" s="1"/>
  <c r="I24" i="14"/>
  <c r="K91" i="11"/>
  <c r="I27" i="14"/>
  <c r="H14" i="15"/>
  <c r="H19" i="15" s="1"/>
  <c r="G15" i="15"/>
  <c r="G20" i="15" s="1"/>
  <c r="H28" i="14"/>
  <c r="H27" i="14"/>
  <c r="G14" i="15"/>
  <c r="G19" i="15" s="1"/>
  <c r="K88" i="11"/>
  <c r="K19" i="12"/>
  <c r="K90" i="11"/>
  <c r="J27" i="14"/>
  <c r="I14" i="15"/>
  <c r="I19" i="15" s="1"/>
  <c r="H85" i="12"/>
  <c r="H86" i="12" s="1"/>
  <c r="H48" i="12"/>
  <c r="H50" i="12" s="1"/>
  <c r="H24" i="14"/>
  <c r="G13" i="15"/>
  <c r="H41" i="11"/>
  <c r="G29" i="14"/>
  <c r="G88" i="12"/>
  <c r="G52" i="12"/>
  <c r="G54" i="12" s="1"/>
  <c r="G93" i="12"/>
  <c r="G95" i="12" s="1"/>
  <c r="G48" i="12"/>
  <c r="G50" i="12" s="1"/>
  <c r="G85" i="12"/>
  <c r="G86" i="12" s="1"/>
  <c r="G24" i="14"/>
  <c r="F13" i="15"/>
  <c r="F16" i="15" s="1"/>
  <c r="H207" i="10"/>
  <c r="I28" i="11"/>
  <c r="H253" i="10"/>
  <c r="J98" i="11"/>
  <c r="I99" i="11"/>
  <c r="I98" i="11"/>
  <c r="H99" i="11"/>
  <c r="J15" i="11"/>
  <c r="G255" i="10"/>
  <c r="G256" i="10" s="1"/>
  <c r="G257" i="10" s="1"/>
  <c r="G264" i="10" s="1"/>
  <c r="G265" i="10" s="1"/>
  <c r="H111" i="11" s="1"/>
  <c r="H98" i="11"/>
  <c r="J224" i="10"/>
  <c r="K27" i="11" s="1"/>
  <c r="H56" i="11"/>
  <c r="H205" i="10"/>
  <c r="H29" i="11"/>
  <c r="K96" i="11"/>
  <c r="K109" i="11"/>
  <c r="M32" i="11"/>
  <c r="N32" i="11"/>
  <c r="H210" i="10"/>
  <c r="H213" i="10" s="1"/>
  <c r="H57" i="11"/>
  <c r="J28" i="11"/>
  <c r="I212" i="10"/>
  <c r="F257" i="10"/>
  <c r="F264" i="10" s="1"/>
  <c r="F265" i="10" s="1"/>
  <c r="K105" i="11"/>
  <c r="J66" i="11"/>
  <c r="J87" i="11" s="1"/>
  <c r="J25" i="12" s="1"/>
  <c r="I316" i="10"/>
  <c r="I319" i="10" s="1"/>
  <c r="J50" i="11"/>
  <c r="I310" i="10"/>
  <c r="I314" i="10" s="1"/>
  <c r="H252" i="10"/>
  <c r="G36" i="11"/>
  <c r="J251" i="10"/>
  <c r="K14" i="11"/>
  <c r="J294" i="10"/>
  <c r="J295" i="10" s="1"/>
  <c r="J279" i="10"/>
  <c r="J280" i="10" s="1"/>
  <c r="M19" i="11"/>
  <c r="N19" i="11"/>
  <c r="I29" i="11"/>
  <c r="I41" i="11"/>
  <c r="I189" i="10"/>
  <c r="I190" i="10" s="1"/>
  <c r="J24" i="11"/>
  <c r="K28" i="11"/>
  <c r="J129" i="10"/>
  <c r="J130" i="10" s="1"/>
  <c r="G42" i="11"/>
  <c r="J158" i="10"/>
  <c r="K21" i="11" s="1"/>
  <c r="K21" i="14" s="1"/>
  <c r="J86" i="11" l="1"/>
  <c r="J23" i="12" s="1"/>
  <c r="J26" i="12" s="1"/>
  <c r="J79" i="12"/>
  <c r="J80" i="12" s="1"/>
  <c r="J18" i="12"/>
  <c r="K78" i="12"/>
  <c r="K14" i="14"/>
  <c r="H255" i="10"/>
  <c r="H256" i="10" s="1"/>
  <c r="I36" i="11" s="1"/>
  <c r="H93" i="12"/>
  <c r="H95" i="12" s="1"/>
  <c r="H88" i="12"/>
  <c r="H29" i="14"/>
  <c r="H52" i="12"/>
  <c r="H54" i="12" s="1"/>
  <c r="J253" i="10"/>
  <c r="G16" i="15"/>
  <c r="J15" i="14"/>
  <c r="J44" i="12"/>
  <c r="J46" i="12" s="1"/>
  <c r="H16" i="15"/>
  <c r="F17" i="15"/>
  <c r="F18" i="15" s="1"/>
  <c r="G36" i="14"/>
  <c r="J14" i="15"/>
  <c r="J19" i="15" s="1"/>
  <c r="K27" i="14"/>
  <c r="J15" i="15"/>
  <c r="J20" i="15" s="1"/>
  <c r="K28" i="14"/>
  <c r="J28" i="14"/>
  <c r="I15" i="15"/>
  <c r="I20" i="15" s="1"/>
  <c r="H15" i="15"/>
  <c r="H20" i="15" s="1"/>
  <c r="I28" i="14"/>
  <c r="J48" i="12"/>
  <c r="J50" i="12" s="1"/>
  <c r="J24" i="14"/>
  <c r="J85" i="12"/>
  <c r="J86" i="12" s="1"/>
  <c r="I13" i="15"/>
  <c r="I16" i="15" s="1"/>
  <c r="I29" i="14"/>
  <c r="I93" i="12"/>
  <c r="I95" i="12" s="1"/>
  <c r="I88" i="12"/>
  <c r="I52" i="12"/>
  <c r="I54" i="12" s="1"/>
  <c r="H208" i="10"/>
  <c r="I205" i="10" s="1"/>
  <c r="I208" i="10" s="1"/>
  <c r="J40" i="11"/>
  <c r="I321" i="10"/>
  <c r="J100" i="11" s="1"/>
  <c r="I23" i="15" s="1"/>
  <c r="K99" i="11"/>
  <c r="J99" i="11"/>
  <c r="H34" i="11"/>
  <c r="H34" i="14" s="1"/>
  <c r="J69" i="11"/>
  <c r="J207" i="10"/>
  <c r="K98" i="11"/>
  <c r="N27" i="11"/>
  <c r="M27" i="11"/>
  <c r="H42" i="11"/>
  <c r="H36" i="11"/>
  <c r="I210" i="10"/>
  <c r="I213" i="10" s="1"/>
  <c r="I57" i="11"/>
  <c r="H60" i="11"/>
  <c r="F266" i="10"/>
  <c r="G77" i="11" s="1"/>
  <c r="G111" i="11"/>
  <c r="K66" i="11"/>
  <c r="K69" i="11" s="1"/>
  <c r="J316" i="10"/>
  <c r="J319" i="10" s="1"/>
  <c r="K50" i="11"/>
  <c r="J310" i="10"/>
  <c r="J314" i="10" s="1"/>
  <c r="J29" i="11"/>
  <c r="J41" i="11"/>
  <c r="M28" i="11"/>
  <c r="N28" i="11"/>
  <c r="M14" i="11"/>
  <c r="N14" i="11"/>
  <c r="K15" i="11"/>
  <c r="J189" i="10"/>
  <c r="J190" i="10" s="1"/>
  <c r="I252" i="10"/>
  <c r="I255" i="10" s="1"/>
  <c r="I34" i="11"/>
  <c r="I34" i="14" s="1"/>
  <c r="I42" i="11"/>
  <c r="K86" i="11" l="1"/>
  <c r="K23" i="12" s="1"/>
  <c r="K79" i="12"/>
  <c r="K80" i="12" s="1"/>
  <c r="K18" i="12"/>
  <c r="G17" i="15"/>
  <c r="G18" i="15" s="1"/>
  <c r="H36" i="14"/>
  <c r="I56" i="11"/>
  <c r="K14" i="12"/>
  <c r="K20" i="12"/>
  <c r="H17" i="15"/>
  <c r="I36" i="14"/>
  <c r="K44" i="12"/>
  <c r="K46" i="12" s="1"/>
  <c r="K15" i="14"/>
  <c r="H18" i="15"/>
  <c r="H26" i="15" s="1"/>
  <c r="H32" i="15" s="1"/>
  <c r="J93" i="12"/>
  <c r="J95" i="12" s="1"/>
  <c r="J88" i="12"/>
  <c r="J29" i="14"/>
  <c r="J52" i="12"/>
  <c r="J54" i="12" s="1"/>
  <c r="J20" i="12"/>
  <c r="J14" i="12"/>
  <c r="G78" i="11"/>
  <c r="H43" i="11"/>
  <c r="H37" i="11"/>
  <c r="H44" i="11" s="1"/>
  <c r="H257" i="10"/>
  <c r="H264" i="10" s="1"/>
  <c r="H265" i="10" s="1"/>
  <c r="I111" i="11" s="1"/>
  <c r="J321" i="10"/>
  <c r="K100" i="11" s="1"/>
  <c r="J23" i="15" s="1"/>
  <c r="K87" i="11"/>
  <c r="K25" i="12" s="1"/>
  <c r="J210" i="10"/>
  <c r="J213" i="10" s="1"/>
  <c r="K57" i="11" s="1"/>
  <c r="J57" i="11"/>
  <c r="J205" i="10"/>
  <c r="J208" i="10" s="1"/>
  <c r="K56" i="11" s="1"/>
  <c r="J56" i="11"/>
  <c r="G263" i="10"/>
  <c r="G266" i="10" s="1"/>
  <c r="H263" i="10" s="1"/>
  <c r="I60" i="11"/>
  <c r="I37" i="11"/>
  <c r="I256" i="10"/>
  <c r="J36" i="11" s="1"/>
  <c r="I43" i="11"/>
  <c r="J42" i="11"/>
  <c r="J34" i="11"/>
  <c r="J34" i="14" s="1"/>
  <c r="M21" i="11"/>
  <c r="N21" i="11"/>
  <c r="J252" i="10"/>
  <c r="J255" i="10" s="1"/>
  <c r="K40" i="11"/>
  <c r="K24" i="11"/>
  <c r="M15" i="11"/>
  <c r="N15" i="11"/>
  <c r="K26" i="12" l="1"/>
  <c r="H266" i="10"/>
  <c r="I77" i="11" s="1"/>
  <c r="I60" i="12"/>
  <c r="I37" i="14"/>
  <c r="I64" i="12"/>
  <c r="I56" i="12"/>
  <c r="I58" i="12" s="1"/>
  <c r="G38" i="12"/>
  <c r="G65" i="12"/>
  <c r="G31" i="12"/>
  <c r="G32" i="12" s="1"/>
  <c r="K85" i="12"/>
  <c r="K86" i="12" s="1"/>
  <c r="K24" i="14"/>
  <c r="J13" i="15"/>
  <c r="K48" i="12"/>
  <c r="K50" i="12" s="1"/>
  <c r="H37" i="14"/>
  <c r="H64" i="12"/>
  <c r="H60" i="12"/>
  <c r="H56" i="12"/>
  <c r="H58" i="12" s="1"/>
  <c r="I17" i="15"/>
  <c r="I18" i="15" s="1"/>
  <c r="I26" i="15" s="1"/>
  <c r="I32" i="15" s="1"/>
  <c r="J36" i="14"/>
  <c r="I44" i="11"/>
  <c r="H95" i="11"/>
  <c r="H77" i="11"/>
  <c r="J60" i="11"/>
  <c r="K60" i="11"/>
  <c r="I95" i="11"/>
  <c r="I101" i="11" s="1"/>
  <c r="J37" i="11"/>
  <c r="I257" i="10"/>
  <c r="I264" i="10" s="1"/>
  <c r="I265" i="10" s="1"/>
  <c r="J111" i="11" s="1"/>
  <c r="J256" i="10"/>
  <c r="K36" i="11" s="1"/>
  <c r="K29" i="11"/>
  <c r="K41" i="11"/>
  <c r="M24" i="11"/>
  <c r="N24" i="11"/>
  <c r="J43" i="11"/>
  <c r="I263" i="10"/>
  <c r="F290" i="10"/>
  <c r="F300" i="10"/>
  <c r="K52" i="12" l="1"/>
  <c r="K54" i="12" s="1"/>
  <c r="K88" i="12"/>
  <c r="K29" i="14"/>
  <c r="K93" i="12"/>
  <c r="K95" i="12" s="1"/>
  <c r="I78" i="11"/>
  <c r="K36" i="14"/>
  <c r="J17" i="15"/>
  <c r="C64" i="15"/>
  <c r="J16" i="15"/>
  <c r="J64" i="12"/>
  <c r="J56" i="12"/>
  <c r="J58" i="12" s="1"/>
  <c r="J37" i="14"/>
  <c r="J60" i="12"/>
  <c r="H78" i="11"/>
  <c r="J44" i="11"/>
  <c r="J257" i="10"/>
  <c r="J264" i="10" s="1"/>
  <c r="J265" i="10" s="1"/>
  <c r="K111" i="11" s="1"/>
  <c r="I266" i="10"/>
  <c r="J263" i="10" s="1"/>
  <c r="J95" i="11"/>
  <c r="J101" i="11" s="1"/>
  <c r="G67" i="11"/>
  <c r="F317" i="10"/>
  <c r="F319" i="10" s="1"/>
  <c r="G317" i="10"/>
  <c r="G319" i="10" s="1"/>
  <c r="G53" i="11"/>
  <c r="G89" i="11" s="1"/>
  <c r="F313" i="10"/>
  <c r="F314" i="10" s="1"/>
  <c r="G313" i="10"/>
  <c r="G314" i="10" s="1"/>
  <c r="G91" i="11"/>
  <c r="G69" i="11"/>
  <c r="K42" i="11"/>
  <c r="K34" i="11"/>
  <c r="K34" i="14" s="1"/>
  <c r="M29" i="11"/>
  <c r="N29" i="11"/>
  <c r="M36" i="11"/>
  <c r="N36" i="11"/>
  <c r="J18" i="15" l="1"/>
  <c r="J26" i="15" s="1"/>
  <c r="J32" i="15" s="1"/>
  <c r="C50" i="15" s="1"/>
  <c r="C51" i="15" s="1"/>
  <c r="C52" i="15" s="1"/>
  <c r="I38" i="12"/>
  <c r="I31" i="12"/>
  <c r="I32" i="12" s="1"/>
  <c r="I65" i="12"/>
  <c r="I66" i="12" s="1"/>
  <c r="G14" i="12"/>
  <c r="G20" i="12"/>
  <c r="H38" i="12"/>
  <c r="H65" i="12"/>
  <c r="H66" i="12" s="1"/>
  <c r="H31" i="12"/>
  <c r="H32" i="12" s="1"/>
  <c r="K43" i="11"/>
  <c r="G321" i="10"/>
  <c r="H100" i="11" s="1"/>
  <c r="J266" i="10"/>
  <c r="K77" i="11" s="1"/>
  <c r="F321" i="10"/>
  <c r="G100" i="11" s="1"/>
  <c r="F23" i="15" s="1"/>
  <c r="F26" i="15" s="1"/>
  <c r="F32" i="15" s="1"/>
  <c r="J77" i="11"/>
  <c r="K37" i="11"/>
  <c r="M34" i="11"/>
  <c r="N34" i="11"/>
  <c r="H101" i="11" l="1"/>
  <c r="G23" i="15"/>
  <c r="G26" i="15" s="1"/>
  <c r="G32" i="15" s="1"/>
  <c r="C53" i="15" s="1"/>
  <c r="C54" i="15" s="1"/>
  <c r="K78" i="11"/>
  <c r="J78" i="11"/>
  <c r="K37" i="14"/>
  <c r="K64" i="12"/>
  <c r="K60" i="12"/>
  <c r="K56" i="12"/>
  <c r="K58" i="12" s="1"/>
  <c r="K95" i="11"/>
  <c r="K101" i="11" s="1"/>
  <c r="K44" i="11"/>
  <c r="M37" i="11"/>
  <c r="N37" i="11"/>
  <c r="C67" i="15" l="1"/>
  <c r="C68" i="15" s="1"/>
  <c r="C73" i="15" s="1"/>
  <c r="D89" i="15" s="1"/>
  <c r="C55" i="15"/>
  <c r="C59" i="15"/>
  <c r="D78" i="15" s="1"/>
  <c r="C56" i="15"/>
  <c r="K31" i="12"/>
  <c r="K32" i="12" s="1"/>
  <c r="K38" i="12"/>
  <c r="K65" i="12"/>
  <c r="K66" i="12" s="1"/>
  <c r="J38" i="12"/>
  <c r="J65" i="12"/>
  <c r="J66" i="12" s="1"/>
  <c r="J31" i="12"/>
  <c r="J32" i="12" s="1"/>
  <c r="F242" i="10"/>
  <c r="G72" i="11" s="1"/>
  <c r="G239" i="10"/>
  <c r="C70" i="15" l="1"/>
  <c r="C69" i="15"/>
  <c r="F353" i="10"/>
  <c r="G108" i="11"/>
  <c r="G74" i="11"/>
  <c r="G80" i="11" s="1"/>
  <c r="G73" i="14" l="1"/>
  <c r="G67" i="14"/>
  <c r="G69" i="14"/>
  <c r="G66" i="14"/>
  <c r="G64" i="14"/>
  <c r="G59" i="14"/>
  <c r="G65" i="14"/>
  <c r="G61" i="14"/>
  <c r="G70" i="14"/>
  <c r="G71" i="14"/>
  <c r="G60" i="14"/>
  <c r="G62" i="14"/>
  <c r="F354" i="10"/>
  <c r="G33" i="11"/>
  <c r="G34" i="11" l="1"/>
  <c r="G34" i="14" s="1"/>
  <c r="G97" i="11"/>
  <c r="G110" i="11"/>
  <c r="G112" i="11" s="1"/>
  <c r="G43" i="11" l="1"/>
  <c r="G37" i="11"/>
  <c r="G37" i="14" l="1"/>
  <c r="G64" i="12"/>
  <c r="G66" i="12" s="1"/>
  <c r="G60" i="12"/>
  <c r="G56" i="12"/>
  <c r="G58" i="12" s="1"/>
  <c r="G44" i="11"/>
  <c r="G95" i="11"/>
  <c r="G101" i="11" s="1"/>
  <c r="G114" i="11" s="1"/>
  <c r="F245" i="10" l="1"/>
  <c r="F246" i="10" s="1"/>
  <c r="G116" i="11"/>
  <c r="G49" i="11" l="1"/>
  <c r="H115" i="11"/>
  <c r="H353" i="10"/>
  <c r="H354" i="10" s="1"/>
  <c r="G242" i="10"/>
  <c r="G353" i="10" s="1"/>
  <c r="G354" i="10" s="1"/>
  <c r="H239" i="10"/>
  <c r="H242" i="10"/>
  <c r="I72" i="11" s="1"/>
  <c r="I239" i="10"/>
  <c r="I242" i="10"/>
  <c r="I353" i="10" s="1"/>
  <c r="I354" i="10" s="1"/>
  <c r="J239" i="10"/>
  <c r="J242" i="10"/>
  <c r="K72" i="11" s="1"/>
  <c r="K74" i="11" l="1"/>
  <c r="K80" i="11" s="1"/>
  <c r="I74" i="11"/>
  <c r="I80" i="11" s="1"/>
  <c r="J353" i="10"/>
  <c r="J354" i="10" s="1"/>
  <c r="J72" i="11"/>
  <c r="H72" i="11"/>
  <c r="G54" i="11"/>
  <c r="G244" i="10"/>
  <c r="I69" i="14" l="1"/>
  <c r="I59" i="14"/>
  <c r="I66" i="14"/>
  <c r="I64" i="14"/>
  <c r="I65" i="14"/>
  <c r="I73" i="14"/>
  <c r="I67" i="14"/>
  <c r="I61" i="14"/>
  <c r="I60" i="14"/>
  <c r="I62" i="14"/>
  <c r="I70" i="14"/>
  <c r="I71" i="14"/>
  <c r="K65" i="14"/>
  <c r="K69" i="14"/>
  <c r="K66" i="14"/>
  <c r="K64" i="14"/>
  <c r="K59" i="14"/>
  <c r="K67" i="14"/>
  <c r="K73" i="14"/>
  <c r="K61" i="14"/>
  <c r="K60" i="14"/>
  <c r="K62" i="14"/>
  <c r="K70" i="14"/>
  <c r="K71" i="14"/>
  <c r="G17" i="12"/>
  <c r="G21" i="12" s="1"/>
  <c r="G13" i="12"/>
  <c r="G15" i="12" s="1"/>
  <c r="G62" i="11"/>
  <c r="G47" i="14" s="1"/>
  <c r="G84" i="11"/>
  <c r="H74" i="11"/>
  <c r="H80" i="11" s="1"/>
  <c r="H108" i="11"/>
  <c r="H112" i="11" s="1"/>
  <c r="H114" i="11" s="1"/>
  <c r="J74" i="11"/>
  <c r="J80" i="11" s="1"/>
  <c r="J108" i="11"/>
  <c r="J112" i="11" s="1"/>
  <c r="J114" i="11" s="1"/>
  <c r="I108" i="11"/>
  <c r="I112" i="11" s="1"/>
  <c r="I114" i="11" s="1"/>
  <c r="K108" i="11"/>
  <c r="K112" i="11" s="1"/>
  <c r="K114" i="11" s="1"/>
  <c r="H65" i="14" l="1"/>
  <c r="H67" i="14"/>
  <c r="H69" i="14"/>
  <c r="H66" i="14"/>
  <c r="H64" i="14"/>
  <c r="H59" i="14"/>
  <c r="H73" i="14"/>
  <c r="H60" i="14"/>
  <c r="H61" i="14"/>
  <c r="H62" i="14"/>
  <c r="H70" i="14"/>
  <c r="H71" i="14"/>
  <c r="J69" i="14"/>
  <c r="J66" i="14"/>
  <c r="J64" i="14"/>
  <c r="J59" i="14"/>
  <c r="J65" i="14"/>
  <c r="J67" i="14"/>
  <c r="J73" i="14"/>
  <c r="J60" i="14"/>
  <c r="J61" i="14"/>
  <c r="J62" i="14"/>
  <c r="J70" i="14"/>
  <c r="J71" i="14"/>
  <c r="G71" i="12"/>
  <c r="G43" i="14"/>
  <c r="G53" i="14"/>
  <c r="G61" i="12"/>
  <c r="G62" i="12" s="1"/>
  <c r="G55" i="14"/>
  <c r="G52" i="14"/>
  <c r="G50" i="14"/>
  <c r="G45" i="14"/>
  <c r="G46" i="14"/>
  <c r="G44" i="14"/>
  <c r="G51" i="14"/>
  <c r="G35" i="12"/>
  <c r="G36" i="12" s="1"/>
  <c r="G49" i="14"/>
  <c r="G39" i="12"/>
  <c r="G40" i="12" s="1"/>
  <c r="G42" i="14"/>
  <c r="I245" i="10"/>
  <c r="J245" i="10"/>
  <c r="H116" i="11"/>
  <c r="G245" i="10"/>
  <c r="G246" i="10" s="1"/>
  <c r="H245" i="10"/>
  <c r="I5" i="11"/>
  <c r="G72" i="12" l="1"/>
  <c r="G75" i="12"/>
  <c r="G76" i="12" s="1"/>
  <c r="H49" i="11"/>
  <c r="I115" i="11"/>
  <c r="I116" i="11" s="1"/>
  <c r="I49" i="11" l="1"/>
  <c r="J115" i="11"/>
  <c r="J116" i="11" s="1"/>
  <c r="H54" i="11"/>
  <c r="H244" i="10"/>
  <c r="H246" i="10" s="1"/>
  <c r="H17" i="12" l="1"/>
  <c r="H21" i="12" s="1"/>
  <c r="H13" i="12"/>
  <c r="H15" i="12" s="1"/>
  <c r="H84" i="11"/>
  <c r="H62" i="11"/>
  <c r="K115" i="11"/>
  <c r="K116" i="11" s="1"/>
  <c r="K49" i="11" s="1"/>
  <c r="J49" i="11"/>
  <c r="I244" i="10"/>
  <c r="I246" i="10" s="1"/>
  <c r="I54" i="11"/>
  <c r="I17" i="12" l="1"/>
  <c r="I21" i="12" s="1"/>
  <c r="I13" i="12"/>
  <c r="I15" i="12" s="1"/>
  <c r="H55" i="14"/>
  <c r="H52" i="14"/>
  <c r="H50" i="14"/>
  <c r="H45" i="14"/>
  <c r="H43" i="14"/>
  <c r="H71" i="12"/>
  <c r="H39" i="12"/>
  <c r="H40" i="12" s="1"/>
  <c r="H35" i="12"/>
  <c r="H36" i="12" s="1"/>
  <c r="H53" i="14"/>
  <c r="H51" i="14"/>
  <c r="H49" i="14"/>
  <c r="H46" i="14"/>
  <c r="H44" i="14"/>
  <c r="H61" i="12"/>
  <c r="H62" i="12" s="1"/>
  <c r="H42" i="14"/>
  <c r="H47" i="14"/>
  <c r="I84" i="11"/>
  <c r="I62" i="11"/>
  <c r="J244" i="10"/>
  <c r="J246" i="10" s="1"/>
  <c r="J54" i="11"/>
  <c r="K54" i="11"/>
  <c r="K13" i="12" l="1"/>
  <c r="K15" i="12" s="1"/>
  <c r="K17" i="12"/>
  <c r="K21" i="12" s="1"/>
  <c r="I55" i="14"/>
  <c r="I52" i="14"/>
  <c r="I50" i="14"/>
  <c r="I45" i="14"/>
  <c r="I43" i="14"/>
  <c r="I61" i="12"/>
  <c r="I62" i="12" s="1"/>
  <c r="I46" i="14"/>
  <c r="I49" i="14"/>
  <c r="I39" i="12"/>
  <c r="I40" i="12" s="1"/>
  <c r="I35" i="12"/>
  <c r="I36" i="12" s="1"/>
  <c r="I53" i="14"/>
  <c r="I51" i="14"/>
  <c r="I44" i="14"/>
  <c r="I71" i="12"/>
  <c r="I42" i="14"/>
  <c r="H75" i="12"/>
  <c r="H76" i="12" s="1"/>
  <c r="H72" i="12"/>
  <c r="J13" i="12"/>
  <c r="J15" i="12" s="1"/>
  <c r="J17" i="12"/>
  <c r="J21" i="12" s="1"/>
  <c r="I47" i="14"/>
  <c r="K84" i="11"/>
  <c r="K62" i="11"/>
  <c r="J62" i="11"/>
  <c r="J84" i="11"/>
  <c r="J71" i="12" l="1"/>
  <c r="J43" i="14"/>
  <c r="J61" i="12"/>
  <c r="J62" i="12" s="1"/>
  <c r="J55" i="14"/>
  <c r="J39" i="12"/>
  <c r="J40" i="12" s="1"/>
  <c r="J35" i="12"/>
  <c r="J36" i="12" s="1"/>
  <c r="J53" i="14"/>
  <c r="J51" i="14"/>
  <c r="J49" i="14"/>
  <c r="J46" i="14"/>
  <c r="J44" i="14"/>
  <c r="J52" i="14"/>
  <c r="J45" i="14"/>
  <c r="J50" i="14"/>
  <c r="J42" i="14"/>
  <c r="K71" i="12"/>
  <c r="K39" i="12"/>
  <c r="K40" i="12" s="1"/>
  <c r="K35" i="12"/>
  <c r="K36" i="12" s="1"/>
  <c r="K53" i="14"/>
  <c r="K51" i="14"/>
  <c r="K49" i="14"/>
  <c r="K46" i="14"/>
  <c r="K44" i="14"/>
  <c r="K61" i="12"/>
  <c r="K62" i="12" s="1"/>
  <c r="K55" i="14"/>
  <c r="K52" i="14"/>
  <c r="K50" i="14"/>
  <c r="K45" i="14"/>
  <c r="K43" i="14"/>
  <c r="K42" i="14"/>
  <c r="J47" i="14"/>
  <c r="K47" i="14"/>
  <c r="I75" i="12"/>
  <c r="I76" i="12" s="1"/>
  <c r="I72" i="12"/>
  <c r="K75" i="12" l="1"/>
  <c r="K76" i="12" s="1"/>
  <c r="K72" i="12"/>
  <c r="J75" i="12"/>
  <c r="J76" i="12" s="1"/>
  <c r="J72" i="12"/>
</calcChain>
</file>

<file path=xl/sharedStrings.xml><?xml version="1.0" encoding="utf-8"?>
<sst xmlns="http://schemas.openxmlformats.org/spreadsheetml/2006/main" count="777" uniqueCount="387">
  <si>
    <t>Mrs Sector</t>
  </si>
  <si>
    <t>Audited Income Statement</t>
  </si>
  <si>
    <t>In Rs Crores unless stated otherwise</t>
  </si>
  <si>
    <t>Sales</t>
  </si>
  <si>
    <t>Less: Cost of Goods Sold</t>
  </si>
  <si>
    <t>Gross Profit</t>
  </si>
  <si>
    <t>Less: Selling, General and Admin (SG&amp;A)</t>
  </si>
  <si>
    <t>Administrative Costs</t>
  </si>
  <si>
    <t>Depreciation</t>
  </si>
  <si>
    <t>Amortization</t>
  </si>
  <si>
    <t>Executive Compensation</t>
  </si>
  <si>
    <t>Marketing Costs</t>
  </si>
  <si>
    <t>Rent</t>
  </si>
  <si>
    <t>Retailer Commission</t>
  </si>
  <si>
    <t>Salaries and Wages</t>
  </si>
  <si>
    <t>Total SG&amp;A</t>
  </si>
  <si>
    <t>Pre-Tax Profit</t>
  </si>
  <si>
    <t>Less: Taxes</t>
  </si>
  <si>
    <t>Net Income</t>
  </si>
  <si>
    <t>Audited Balance Sheet</t>
  </si>
  <si>
    <t>Assets</t>
  </si>
  <si>
    <t>Cash</t>
  </si>
  <si>
    <t>Inventory</t>
  </si>
  <si>
    <t>Debtors</t>
  </si>
  <si>
    <t>Prepaid Expenses</t>
  </si>
  <si>
    <t>Other Current Assets</t>
  </si>
  <si>
    <t>Total Current Assets</t>
  </si>
  <si>
    <t>Net Property, Plant &amp; Equipment</t>
  </si>
  <si>
    <t>Net Intangible Assets</t>
  </si>
  <si>
    <t>Goodwill</t>
  </si>
  <si>
    <t>Other Non-Current Assets</t>
  </si>
  <si>
    <t>Total Non-Current Assets</t>
  </si>
  <si>
    <t>Total Assets</t>
  </si>
  <si>
    <t>Liabilities and Shareholders' Equity</t>
  </si>
  <si>
    <t>Creditors</t>
  </si>
  <si>
    <t>Other Payables</t>
  </si>
  <si>
    <t>Other Current Liabilities</t>
  </si>
  <si>
    <t>Total Current Liabilities</t>
  </si>
  <si>
    <t>Senior Term Loan</t>
  </si>
  <si>
    <t>Revolving Credit</t>
  </si>
  <si>
    <t>Other Non-Current Liabilities</t>
  </si>
  <si>
    <t>Total Non-Current Liabilities</t>
  </si>
  <si>
    <t>Equity Shares</t>
  </si>
  <si>
    <t>Retained Earnings</t>
  </si>
  <si>
    <t>Total Shareholders' Equity</t>
  </si>
  <si>
    <t>Total Liabilities and Shareholders' Equity</t>
  </si>
  <si>
    <t xml:space="preserve"> </t>
  </si>
  <si>
    <t xml:space="preserve">Mrs Sector Foods </t>
  </si>
  <si>
    <t>Control Sheet</t>
  </si>
  <si>
    <t xml:space="preserve">In INR crores unless started otherwise </t>
  </si>
  <si>
    <t>Actual</t>
  </si>
  <si>
    <t>Explicit Forecast Period</t>
  </si>
  <si>
    <t>#</t>
  </si>
  <si>
    <t>Sales Assumptions</t>
  </si>
  <si>
    <t>Cereals</t>
  </si>
  <si>
    <t>Price/Box - yoy % Growth</t>
  </si>
  <si>
    <t>Management Case</t>
  </si>
  <si>
    <t>Best Case</t>
  </si>
  <si>
    <t>Down Case</t>
  </si>
  <si>
    <t>Current Case</t>
  </si>
  <si>
    <t>Number of Boxes Sold - yoy % Growth</t>
  </si>
  <si>
    <t>Pickle</t>
  </si>
  <si>
    <t>Sauces</t>
  </si>
  <si>
    <t>Price/Sachets- yoy % Growth</t>
  </si>
  <si>
    <t>Number of Sachets Sold - yoy % Growth</t>
  </si>
  <si>
    <t>Price/Box</t>
  </si>
  <si>
    <t>Total Sales - Cereals</t>
  </si>
  <si>
    <t>Price growth % y-o-y</t>
  </si>
  <si>
    <t>Volume growth % y-o-y</t>
  </si>
  <si>
    <t>Total Sales - Cereals growth % y-o-y</t>
  </si>
  <si>
    <t>Total Sales - Sauces</t>
  </si>
  <si>
    <t>Total Sales - Sauces growth % y-o-y</t>
  </si>
  <si>
    <t>Total Sales - Pickle</t>
  </si>
  <si>
    <t>Total Sales - Pickle growth % y-o-y</t>
  </si>
  <si>
    <t>Number of boxes Sold (in crs)</t>
  </si>
  <si>
    <t>Total Sales</t>
  </si>
  <si>
    <t>Total Sales - growth % y-o-y</t>
  </si>
  <si>
    <t>COGS Assumptions</t>
  </si>
  <si>
    <t>Labour Cost - yoy % Growth</t>
  </si>
  <si>
    <t>Raw Material Cost - yoy % Growth</t>
  </si>
  <si>
    <t>Packaging Cost - yoy % Growth</t>
  </si>
  <si>
    <t>Delivery Cost - yoy % Growth</t>
  </si>
  <si>
    <t>Sales Schedules</t>
  </si>
  <si>
    <t>COGS Schedules</t>
  </si>
  <si>
    <t xml:space="preserve">Total Boxes Sold </t>
  </si>
  <si>
    <t>Raw Material Cost/Box</t>
  </si>
  <si>
    <t>Total Raw Material Cost</t>
  </si>
  <si>
    <t>Labour Cost/Box</t>
  </si>
  <si>
    <t>Packaging Cost/Box</t>
  </si>
  <si>
    <t>Delivery Cost/Box</t>
  </si>
  <si>
    <t>Total Labour Cost</t>
  </si>
  <si>
    <t>Total Packaging Cost</t>
  </si>
  <si>
    <t>Total Delivery Cost</t>
  </si>
  <si>
    <t>Total COGS - Cereals</t>
  </si>
  <si>
    <t xml:space="preserve">Total Sachets Sold </t>
  </si>
  <si>
    <t>Raw Material Cost/Sachets</t>
  </si>
  <si>
    <t>Labour Cost/Sachets</t>
  </si>
  <si>
    <t>Packaging Cost/Sachets</t>
  </si>
  <si>
    <t>Delivery Cost/Sachets</t>
  </si>
  <si>
    <t>Total COGS - Pickles</t>
  </si>
  <si>
    <t>Total COGS - Sauces</t>
  </si>
  <si>
    <t>Raw Material Cost - Growth % yoy</t>
  </si>
  <si>
    <t>Labour Cost - Growth % yoy</t>
  </si>
  <si>
    <t>Packaging Cost - Growth % yoy</t>
  </si>
  <si>
    <t>Delivery Cost - Growth % yoy</t>
  </si>
  <si>
    <t>Total Cost - % of Cereals Sales</t>
  </si>
  <si>
    <t>Gross Margin - Cereals</t>
  </si>
  <si>
    <t>Total Spoilage Allowance</t>
  </si>
  <si>
    <t>Spoilage Allowance % Sales</t>
  </si>
  <si>
    <t>Spoilage Allowance - % Sales</t>
  </si>
  <si>
    <t xml:space="preserve">Selling, General and Administrative (SG&amp;A) Expenses </t>
  </si>
  <si>
    <t>Bangalore Factory Rent - yoy % Growth</t>
  </si>
  <si>
    <t>Rental Expense</t>
  </si>
  <si>
    <t>Noida Factory Rent - yoy % Growth</t>
  </si>
  <si>
    <t>Salaries and Wages:</t>
  </si>
  <si>
    <t>Salaries and Wages Expenses % Sales</t>
  </si>
  <si>
    <t>Retailer Commission % Sales</t>
  </si>
  <si>
    <t>Adminstrative Cost % Sales</t>
  </si>
  <si>
    <t>Marketing Cost % Sales</t>
  </si>
  <si>
    <t>Base Pay - yoy % Growth</t>
  </si>
  <si>
    <t>SG&amp;A (Excluding Depreciation &amp; Interest Expenses) Schedules</t>
  </si>
  <si>
    <t>Rent - Current Factories</t>
  </si>
  <si>
    <t>Bangalore Factories Rent</t>
  </si>
  <si>
    <t>Noida Factory Rent</t>
  </si>
  <si>
    <t>Total Rent - Current Factory</t>
  </si>
  <si>
    <t>Bangalore Factories Rent - Growth % y-o-y</t>
  </si>
  <si>
    <t>Noida Factories Rent - Growth % y-o-y</t>
  </si>
  <si>
    <t>Total Current Factory Rent - Growth % y-o-y</t>
  </si>
  <si>
    <t>Total Current Factory Rent - % Sales</t>
  </si>
  <si>
    <t>Rent - New Factories</t>
  </si>
  <si>
    <t>Bangalore Factory - Share in Sales</t>
  </si>
  <si>
    <t>Noida Factory - Share in Sales</t>
  </si>
  <si>
    <t>Total Area (in Sq ft)</t>
  </si>
  <si>
    <t>Bangalore Factory - Max Capacity</t>
  </si>
  <si>
    <t>Noida Factory - Max Capacity</t>
  </si>
  <si>
    <t>Current Capacity</t>
  </si>
  <si>
    <t>Bangalore Factory - Capacity Available</t>
  </si>
  <si>
    <t>Noida Factory - Capacity Available</t>
  </si>
  <si>
    <t>Assam Factory Rent</t>
  </si>
  <si>
    <t xml:space="preserve">Assam Factory Rent % Sales </t>
  </si>
  <si>
    <t xml:space="preserve">Total Factory Rent </t>
  </si>
  <si>
    <t xml:space="preserve">Salaries and Wages % of Revenue </t>
  </si>
  <si>
    <t xml:space="preserve">Retailer Commission </t>
  </si>
  <si>
    <t xml:space="preserve">Adminstrative Cost </t>
  </si>
  <si>
    <t xml:space="preserve">Marketing Cost  </t>
  </si>
  <si>
    <t xml:space="preserve">Retailer Commission % of Revenue </t>
  </si>
  <si>
    <t xml:space="preserve">Adminstrative Cost % of Revenue </t>
  </si>
  <si>
    <t xml:space="preserve">Marketing Cost </t>
  </si>
  <si>
    <t xml:space="preserve">Marketing Cost % of Revenue </t>
  </si>
  <si>
    <t>Executive Compensation Expenses</t>
  </si>
  <si>
    <t>Base Salary</t>
  </si>
  <si>
    <t>Bonus Salary</t>
  </si>
  <si>
    <t>Base Salary - yoy % Growth</t>
  </si>
  <si>
    <t>Bonus Salary % Sales</t>
  </si>
  <si>
    <t>Total Salary % Sales</t>
  </si>
  <si>
    <t xml:space="preserve">Total Executive Compensation Expenses </t>
  </si>
  <si>
    <t>Bonus Pay - % Sales</t>
  </si>
  <si>
    <t>Total SG&amp;A % Sales</t>
  </si>
  <si>
    <t>Non Current Asset Assumption</t>
  </si>
  <si>
    <t xml:space="preserve">Tangible Non Current Asset </t>
  </si>
  <si>
    <t xml:space="preserve">Tangible Non Current Asset % Sales </t>
  </si>
  <si>
    <t xml:space="preserve">Intangible Non Current Asset % Sales </t>
  </si>
  <si>
    <t xml:space="preserve">Intangible Non Current Asset </t>
  </si>
  <si>
    <t>Tax Rate Assumption</t>
  </si>
  <si>
    <t>Marginal Tax Rate</t>
  </si>
  <si>
    <t>Senior Term Loan Assumption</t>
  </si>
  <si>
    <t>Senior Term Loan (In crores)</t>
  </si>
  <si>
    <t xml:space="preserve">Bank Rate Assumption </t>
  </si>
  <si>
    <t xml:space="preserve">Bank Rate % </t>
  </si>
  <si>
    <t>Revolving Interest Assumptions</t>
  </si>
  <si>
    <t/>
  </si>
  <si>
    <t>Revolving Interest %</t>
  </si>
  <si>
    <t xml:space="preserve">Divident Payout Assumption </t>
  </si>
  <si>
    <t>Divident Payout %</t>
  </si>
  <si>
    <t>Non Current Asset Schedules</t>
  </si>
  <si>
    <t>Tangible Non Current Assets</t>
  </si>
  <si>
    <t>Total Tangible Non Current Asset - Anount Spend</t>
  </si>
  <si>
    <t>Tangible Non Current Asset Spend % Revenue</t>
  </si>
  <si>
    <t>Intangible Non Current Assets</t>
  </si>
  <si>
    <t>Total Intangible Non Current Asset - Anount Spend</t>
  </si>
  <si>
    <t>Intangible Non Current Asset Spend % Revenue</t>
  </si>
  <si>
    <t>Depreciation Schedules</t>
  </si>
  <si>
    <t>PPE - Beginning of the Year</t>
  </si>
  <si>
    <t>Add: Tangible Asset Spend</t>
  </si>
  <si>
    <t>Less: Depreciation</t>
  </si>
  <si>
    <t xml:space="preserve">PPE - Ending of the Year </t>
  </si>
  <si>
    <t>Intangible Non Current Assets - Beginning of the Year</t>
  </si>
  <si>
    <t>Add: Intangible Asset Spend</t>
  </si>
  <si>
    <t xml:space="preserve">Intangible Non Current Asset - Ending of the Year </t>
  </si>
  <si>
    <t>Less: Amortization</t>
  </si>
  <si>
    <t>Useful life</t>
  </si>
  <si>
    <t>Depreciation Waterfall Schedule</t>
  </si>
  <si>
    <t>Total Depreciation</t>
  </si>
  <si>
    <t>Amortization Waterfall Schedule</t>
  </si>
  <si>
    <t>Total Amortization</t>
  </si>
  <si>
    <t>Totall COGS - All Products</t>
  </si>
  <si>
    <t>Totall COGS - All Products % Sales</t>
  </si>
  <si>
    <t>Total SG&amp;A (Excluding Depreciation &amp; Interest Expenses) Schedules</t>
  </si>
  <si>
    <t>Total Gross Margin (All Products)</t>
  </si>
  <si>
    <t>Tax Expense Schedules</t>
  </si>
  <si>
    <t>Revenue</t>
  </si>
  <si>
    <t>Less: SG&amp;A Expenses</t>
  </si>
  <si>
    <t>Less: Depreciation &amp; Amortization</t>
  </si>
  <si>
    <t>Less: Interest Expenses</t>
  </si>
  <si>
    <t>Earning Before Tax</t>
  </si>
  <si>
    <t>Less: Tax Expenses</t>
  </si>
  <si>
    <t>Retained Earnings - Beginning of the Year</t>
  </si>
  <si>
    <t>Add: Net Income</t>
  </si>
  <si>
    <t>Less: Dividend Paid</t>
  </si>
  <si>
    <t xml:space="preserve">Retained Earning - Ending of the Year </t>
  </si>
  <si>
    <t>Dividend Payout Rate %</t>
  </si>
  <si>
    <t>Working Capital Schedules</t>
  </si>
  <si>
    <t>COGS</t>
  </si>
  <si>
    <t>Other Current Asset</t>
  </si>
  <si>
    <t>sales</t>
  </si>
  <si>
    <t xml:space="preserve">Debtors Days </t>
  </si>
  <si>
    <t>Inventory Days</t>
  </si>
  <si>
    <t>Creditors Day</t>
  </si>
  <si>
    <t>Prepaid Expenses % Sales</t>
  </si>
  <si>
    <t>Other Current Asset % Sales</t>
  </si>
  <si>
    <t>Other Payables % Sales</t>
  </si>
  <si>
    <t>Other Current Liabilities % Sales</t>
  </si>
  <si>
    <t>Loan Schedules</t>
  </si>
  <si>
    <t>Debt - Beginning of the Year</t>
  </si>
  <si>
    <t>Add: Additional Debt Raised</t>
  </si>
  <si>
    <t>Less: Debt Repayment</t>
  </si>
  <si>
    <t xml:space="preserve">Debt - End of the Year </t>
  </si>
  <si>
    <t>Debt y-o-y % Growth</t>
  </si>
  <si>
    <t>Debt Growth - INR</t>
  </si>
  <si>
    <t>Loan Repayment Schedule</t>
  </si>
  <si>
    <t>Total Debt Repayment</t>
  </si>
  <si>
    <t>Interest Schedules</t>
  </si>
  <si>
    <t xml:space="preserve">Bank Rate </t>
  </si>
  <si>
    <t>Spread</t>
  </si>
  <si>
    <t>Total Interest Rate</t>
  </si>
  <si>
    <t>Bank Rate -y-o-y % Growth</t>
  </si>
  <si>
    <t>Debt Interest Expenses</t>
  </si>
  <si>
    <t>3 Statement Model</t>
  </si>
  <si>
    <t>Less: SG&amp;A Expenses (Excluding Depreciation &amp; Interest)</t>
  </si>
  <si>
    <t>EBITDA</t>
  </si>
  <si>
    <t>EBIT</t>
  </si>
  <si>
    <t>Less: Total Interest Expenses</t>
  </si>
  <si>
    <t>Loan Interest Expenses</t>
  </si>
  <si>
    <t>Rovolver Interest</t>
  </si>
  <si>
    <t>EBT</t>
  </si>
  <si>
    <t>5 Year</t>
  </si>
  <si>
    <t>3 Year</t>
  </si>
  <si>
    <t>CAGR</t>
  </si>
  <si>
    <t>Sales Growth %</t>
  </si>
  <si>
    <t>Gross Profit Margin %</t>
  </si>
  <si>
    <t>EBITDA Margin %</t>
  </si>
  <si>
    <t>EBIT Margin %</t>
  </si>
  <si>
    <t>Actual Tax Rate %</t>
  </si>
  <si>
    <t>Net Income Margin %</t>
  </si>
  <si>
    <t>Income Statement</t>
  </si>
  <si>
    <t>Balance Sheet</t>
  </si>
  <si>
    <t>Net Working Capital</t>
  </si>
  <si>
    <t>Debtors Days</t>
  </si>
  <si>
    <t xml:space="preserve">Inventory Days </t>
  </si>
  <si>
    <t>Creditor Days</t>
  </si>
  <si>
    <t>Other Payable % Sales</t>
  </si>
  <si>
    <t xml:space="preserve">Cash Flow Statement </t>
  </si>
  <si>
    <t>Less: Revolver Expenses</t>
  </si>
  <si>
    <t>Add: Depreciation</t>
  </si>
  <si>
    <t>Add: Amortization</t>
  </si>
  <si>
    <t>Less: Change in Working Capital</t>
  </si>
  <si>
    <t>Tangible Non Current Asset Spend</t>
  </si>
  <si>
    <t>Intangible Non Current Asset Spend</t>
  </si>
  <si>
    <t>Cash Flow from Investing Activities</t>
  </si>
  <si>
    <t>Cash Flow from Operation</t>
  </si>
  <si>
    <t>Add/ (Less): Change in Term Loan</t>
  </si>
  <si>
    <t>Add/ (Less): Change in Revolver</t>
  </si>
  <si>
    <t>Add: Loan Interest Expenses</t>
  </si>
  <si>
    <t>Add: Revolver Interest Expenses</t>
  </si>
  <si>
    <t>Net Change in cash</t>
  </si>
  <si>
    <t>Opening Cash Balance</t>
  </si>
  <si>
    <t xml:space="preserve">Closing Cash Balance </t>
  </si>
  <si>
    <t>Retained Earning Schedules</t>
  </si>
  <si>
    <t xml:space="preserve">Change In Working Capital </t>
  </si>
  <si>
    <t>Total Current Assets (Excludinf Cash)</t>
  </si>
  <si>
    <t>Change in Inventory</t>
  </si>
  <si>
    <t>Change in Debtors</t>
  </si>
  <si>
    <t>Change in Prepaid Expenses</t>
  </si>
  <si>
    <t>Change in Other Current Assets</t>
  </si>
  <si>
    <t>Change in Creditors</t>
  </si>
  <si>
    <t>Change in Other Payables</t>
  </si>
  <si>
    <t>Change in Other Current Liabilities</t>
  </si>
  <si>
    <t>Change in Net Working Capital</t>
  </si>
  <si>
    <t>Add: Interest Expenses</t>
  </si>
  <si>
    <t xml:space="preserve">Less: Dividend Paid </t>
  </si>
  <si>
    <t>Revolver Schedules</t>
  </si>
  <si>
    <t>Beginning Revolver Loan</t>
  </si>
  <si>
    <t>Add: Addition Durring the year</t>
  </si>
  <si>
    <t>Less: Addition Durring the year</t>
  </si>
  <si>
    <t>Ending Revolver Loan</t>
  </si>
  <si>
    <t>Beginning Cash Balance</t>
  </si>
  <si>
    <t>Add: Additional Cash</t>
  </si>
  <si>
    <t xml:space="preserve">Ending Cash Balance </t>
  </si>
  <si>
    <t>Revolver Loan Interest</t>
  </si>
  <si>
    <t>Total Interest Expenses</t>
  </si>
  <si>
    <t xml:space="preserve">Cash Flow </t>
  </si>
  <si>
    <t>Growth</t>
  </si>
  <si>
    <t>PPT Foundation</t>
  </si>
  <si>
    <t>advance finance model</t>
  </si>
  <si>
    <t>Valuation Mind Set</t>
  </si>
  <si>
    <t xml:space="preserve">Tools </t>
  </si>
  <si>
    <t>Common Sized Income Statement</t>
  </si>
  <si>
    <t>Common Size Statement</t>
  </si>
  <si>
    <t>Common Sized Balance Sheet</t>
  </si>
  <si>
    <t>Ratio Analysis</t>
  </si>
  <si>
    <t>Liquidity Ratio</t>
  </si>
  <si>
    <t xml:space="preserve">Current Asset </t>
  </si>
  <si>
    <t xml:space="preserve">Current Liabilities </t>
  </si>
  <si>
    <t>Current Ratio</t>
  </si>
  <si>
    <t>Quick Ratio (Acid Test)</t>
  </si>
  <si>
    <t>Debtor Days</t>
  </si>
  <si>
    <t xml:space="preserve">Creditor Days </t>
  </si>
  <si>
    <t>Cash Conversion Days</t>
  </si>
  <si>
    <t>Leverage Ratio / Solvency Ratio</t>
  </si>
  <si>
    <t>Total Debt</t>
  </si>
  <si>
    <t xml:space="preserve">Total Equity </t>
  </si>
  <si>
    <t>Debt to Equity Ratio</t>
  </si>
  <si>
    <t xml:space="preserve">Total Debt </t>
  </si>
  <si>
    <t xml:space="preserve">Total Asset </t>
  </si>
  <si>
    <t>Debt to Asset Ratio</t>
  </si>
  <si>
    <t>Total Equity</t>
  </si>
  <si>
    <t>Total Asset</t>
  </si>
  <si>
    <t>Equity To Asset Ratio</t>
  </si>
  <si>
    <t>Profitability Ratio</t>
  </si>
  <si>
    <t xml:space="preserve">Gross Profit Margin </t>
  </si>
  <si>
    <t>EBITDA Margin</t>
  </si>
  <si>
    <t>EBIT Margin</t>
  </si>
  <si>
    <t>Net Profit</t>
  </si>
  <si>
    <t>Net Profit Margin</t>
  </si>
  <si>
    <t>Return on Asset</t>
  </si>
  <si>
    <t>Return on Equity</t>
  </si>
  <si>
    <t>Efficiency Ratio</t>
  </si>
  <si>
    <t>Asset Turnover Ratio</t>
  </si>
  <si>
    <t>Inventory Turnover Ratio</t>
  </si>
  <si>
    <t xml:space="preserve">Change in Revenue </t>
  </si>
  <si>
    <t>Change in Asset</t>
  </si>
  <si>
    <t>Reinvestment Ratio</t>
  </si>
  <si>
    <t>-</t>
  </si>
  <si>
    <t>Coverage Ratio</t>
  </si>
  <si>
    <t>Debt to EBITDA Coverage Ratio</t>
  </si>
  <si>
    <t>Interest</t>
  </si>
  <si>
    <t xml:space="preserve">Debt Repayment </t>
  </si>
  <si>
    <t>Less: Tax</t>
  </si>
  <si>
    <t>EBIT (1-T)</t>
  </si>
  <si>
    <t>Less: Reinvestment</t>
  </si>
  <si>
    <t>Change in Working Capital</t>
  </si>
  <si>
    <t>Tangible Non Current Spend</t>
  </si>
  <si>
    <t>Intangible Non Current Spend</t>
  </si>
  <si>
    <t>Free Cash Flow to Firm</t>
  </si>
  <si>
    <t>Yes</t>
  </si>
  <si>
    <t>Discount Period (Year)</t>
  </si>
  <si>
    <t>Mid Year Convention?</t>
  </si>
  <si>
    <t>Discount Rate (WACC)</t>
  </si>
  <si>
    <t>Present Value Factor</t>
  </si>
  <si>
    <t>Present Value of Free Cash Flow to Firm</t>
  </si>
  <si>
    <t>Weighted Average Cost of Capital</t>
  </si>
  <si>
    <t xml:space="preserve">Risk Free Rate </t>
  </si>
  <si>
    <t>ERP</t>
  </si>
  <si>
    <t>Beta</t>
  </si>
  <si>
    <t>Cost of Equity</t>
  </si>
  <si>
    <t>Cost of Debt</t>
  </si>
  <si>
    <t>Weight of Equity</t>
  </si>
  <si>
    <t>Weight of Debt</t>
  </si>
  <si>
    <t>DCF Calculation - Perpetuity Growth</t>
  </si>
  <si>
    <t>Perpetuity Growth</t>
  </si>
  <si>
    <t>Terminal Year FCFF x (1+PGR)</t>
  </si>
  <si>
    <t>Terminal Value</t>
  </si>
  <si>
    <t>Present Value of Terminal Value</t>
  </si>
  <si>
    <t>Present Value of FCFFs</t>
  </si>
  <si>
    <t>Enterprise Value</t>
  </si>
  <si>
    <t>Implied Exit Multiple</t>
  </si>
  <si>
    <t>Implied EV/EBITDA</t>
  </si>
  <si>
    <t>Less: Debt</t>
  </si>
  <si>
    <t>Less: Cash</t>
  </si>
  <si>
    <t>Equity Value</t>
  </si>
  <si>
    <t>DCF Calculation - Exit Multiple</t>
  </si>
  <si>
    <t>Exit Multiple</t>
  </si>
  <si>
    <t>Terminal Year EBITDA</t>
  </si>
  <si>
    <t>WACC</t>
  </si>
  <si>
    <t>Perpetuity Growth Rate</t>
  </si>
  <si>
    <t>Sensitivity Analysis - Exit Multiple</t>
  </si>
  <si>
    <t>Sensitivity Analysis - Perpetuity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</si>
</sst>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#,##0;\(#,##0\);\-"/>
    <numFmt numFmtId="165" formatCode="0.0%"/>
    <numFmt numFmtId="166" formatCode="&quot;FY&quot;###0"/>
    <numFmt numFmtId="167" formatCode="_(* #,##0_);_(* \(#,##0\);_(* &quot;-&quot;??_);_(@_)"/>
    <numFmt numFmtId="168" formatCode="#,##0.00000;\(#,##0.00000\);\-"/>
    <numFmt numFmtId="169" formatCode="&quot;₹&quot;\ #,##0.00"/>
    <numFmt numFmtId="170" formatCode="&quot;₹&quot;\ #,##0"/>
    <numFmt numFmtId="171" formatCode="&quot;₹&quot;\ #,##0.0"/>
    <numFmt numFmtId="172" formatCode="0\ &quot;Year&quot;"/>
    <numFmt numFmtId="173" formatCode="&quot;FY&quot;0"/>
    <numFmt numFmtId="174" formatCode="0\ &quot;Days&quot;"/>
    <numFmt numFmtId="175" formatCode="0\ &quot;days&quot;"/>
    <numFmt numFmtId="176" formatCode="&quot;Debt Tenure - &quot;0\ &quot;Year&quot;"/>
    <numFmt numFmtId="177" formatCode="&quot;₹&quot;\ #,##0;\(&quot;₹&quot;\ #,##0\);\-"/>
    <numFmt numFmtId="178" formatCode="0.0"/>
    <numFmt numFmtId="179" formatCode="0.0&quot;x&quot;"/>
    <numFmt numFmtId="180" formatCode="0.0.&quot;x&quot;"/>
    <numFmt numFmtId="181" formatCode="#,##0.000"/>
  </numFmts>
  <fonts count="42" x14ac:knownFonts="1">
    <font>
      <sz val="11"/>
      <color theme="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000000"/>
      <name val="Calibri"/>
      <family val="2"/>
      <scheme val="minor"/>
    </font>
    <font>
      <b/>
      <u/>
      <sz val="11"/>
      <name val="Calibri"/>
      <family val="2"/>
      <scheme val="minor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</font>
    <font>
      <b/>
      <sz val="18"/>
      <color rgb="FF0070C0"/>
      <name val="Calibri"/>
      <family val="2"/>
    </font>
    <font>
      <sz val="11"/>
      <color rgb="FF3333FF"/>
      <name val="Calibri"/>
      <family val="2"/>
    </font>
    <font>
      <sz val="11"/>
      <color rgb="FF00B050"/>
      <name val="Calibri"/>
      <family val="2"/>
    </font>
    <font>
      <b/>
      <sz val="14"/>
      <color theme="0"/>
      <name val="Calibri"/>
      <family val="2"/>
    </font>
    <font>
      <i/>
      <sz val="10"/>
      <color rgb="FF3333FF"/>
      <name val="Calibri"/>
      <family val="2"/>
    </font>
    <font>
      <b/>
      <sz val="11"/>
      <color rgb="FF3333FF"/>
      <name val="Calibri"/>
      <family val="2"/>
    </font>
    <font>
      <b/>
      <sz val="12"/>
      <color theme="1"/>
      <name val="Calibri"/>
      <family val="2"/>
    </font>
    <font>
      <b/>
      <u/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00B05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4"/>
      <color theme="0"/>
      <name val="Calibri"/>
      <family val="2"/>
    </font>
    <font>
      <b/>
      <sz val="11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2060"/>
      </bottom>
      <diagonal/>
    </border>
    <border>
      <left/>
      <right/>
      <top style="hair">
        <color theme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1" fillId="0" borderId="0"/>
    <xf numFmtId="0" fontId="3" fillId="0" borderId="0"/>
  </cellStyleXfs>
  <cellXfs count="244">
    <xf numFmtId="0" fontId="0" fillId="0" borderId="0" xfId="0"/>
    <xf numFmtId="164" fontId="2" fillId="0" borderId="0" xfId="2" applyNumberFormat="1" applyFont="1"/>
    <xf numFmtId="164" fontId="4" fillId="0" borderId="0" xfId="3" applyNumberFormat="1" applyFont="1" applyAlignment="1">
      <alignment vertical="center"/>
    </xf>
    <xf numFmtId="164" fontId="5" fillId="0" borderId="0" xfId="2" applyNumberFormat="1" applyFont="1"/>
    <xf numFmtId="0" fontId="5" fillId="0" borderId="0" xfId="2" applyFont="1"/>
    <xf numFmtId="164" fontId="6" fillId="0" borderId="0" xfId="3" applyNumberFormat="1" applyFont="1" applyAlignment="1">
      <alignment vertical="center"/>
    </xf>
    <xf numFmtId="0" fontId="2" fillId="0" borderId="0" xfId="2" applyFont="1"/>
    <xf numFmtId="164" fontId="7" fillId="0" borderId="0" xfId="3" applyNumberFormat="1" applyFont="1" applyAlignment="1">
      <alignment vertical="center"/>
    </xf>
    <xf numFmtId="9" fontId="2" fillId="0" borderId="0" xfId="1" applyFont="1" applyFill="1"/>
    <xf numFmtId="164" fontId="9" fillId="0" borderId="0" xfId="3" applyNumberFormat="1" applyFont="1" applyAlignment="1">
      <alignment vertical="center"/>
    </xf>
    <xf numFmtId="165" fontId="2" fillId="0" borderId="0" xfId="1" applyNumberFormat="1" applyFont="1" applyFill="1"/>
    <xf numFmtId="166" fontId="10" fillId="0" borderId="0" xfId="3" applyNumberFormat="1" applyFont="1" applyAlignment="1">
      <alignment vertical="center"/>
    </xf>
    <xf numFmtId="166" fontId="10" fillId="0" borderId="0" xfId="2" applyNumberFormat="1" applyFont="1"/>
    <xf numFmtId="166" fontId="10" fillId="2" borderId="0" xfId="2" applyNumberFormat="1" applyFont="1" applyFill="1" applyAlignment="1">
      <alignment horizontal="right"/>
    </xf>
    <xf numFmtId="164" fontId="11" fillId="0" borderId="0" xfId="3" applyNumberFormat="1" applyFont="1" applyAlignment="1">
      <alignment horizontal="left" vertical="center"/>
    </xf>
    <xf numFmtId="164" fontId="11" fillId="0" borderId="0" xfId="3" applyNumberFormat="1" applyFont="1" applyAlignment="1">
      <alignment vertical="center"/>
    </xf>
    <xf numFmtId="164" fontId="11" fillId="0" borderId="1" xfId="3" applyNumberFormat="1" applyFont="1" applyBorder="1" applyAlignment="1">
      <alignment horizontal="left" vertical="center" indent="1"/>
    </xf>
    <xf numFmtId="0" fontId="5" fillId="0" borderId="1" xfId="2" applyFont="1" applyBorder="1"/>
    <xf numFmtId="167" fontId="5" fillId="0" borderId="1" xfId="2" applyNumberFormat="1" applyFont="1" applyBorder="1"/>
    <xf numFmtId="164" fontId="5" fillId="0" borderId="1" xfId="2" applyNumberFormat="1" applyFont="1" applyBorder="1"/>
    <xf numFmtId="164" fontId="12" fillId="0" borderId="0" xfId="3" applyNumberFormat="1" applyFont="1" applyAlignment="1">
      <alignment vertical="center"/>
    </xf>
    <xf numFmtId="0" fontId="13" fillId="0" borderId="0" xfId="2" applyFont="1"/>
    <xf numFmtId="167" fontId="13" fillId="0" borderId="0" xfId="2" applyNumberFormat="1" applyFont="1"/>
    <xf numFmtId="164" fontId="14" fillId="0" borderId="0" xfId="1" applyNumberFormat="1" applyFont="1" applyFill="1"/>
    <xf numFmtId="167" fontId="5" fillId="0" borderId="0" xfId="2" applyNumberFormat="1" applyFont="1"/>
    <xf numFmtId="165" fontId="15" fillId="0" borderId="0" xfId="1" applyNumberFormat="1" applyFont="1" applyFill="1"/>
    <xf numFmtId="164" fontId="16" fillId="0" borderId="0" xfId="3" applyNumberFormat="1" applyFont="1" applyAlignment="1">
      <alignment horizontal="left" vertical="center"/>
    </xf>
    <xf numFmtId="164" fontId="15" fillId="0" borderId="0" xfId="1" applyNumberFormat="1" applyFont="1" applyFill="1"/>
    <xf numFmtId="164" fontId="11" fillId="0" borderId="0" xfId="3" applyNumberFormat="1" applyFont="1" applyAlignment="1">
      <alignment horizontal="left" vertical="center" indent="1"/>
    </xf>
    <xf numFmtId="165" fontId="5" fillId="0" borderId="0" xfId="1" applyNumberFormat="1" applyFont="1" applyFill="1"/>
    <xf numFmtId="0" fontId="5" fillId="0" borderId="0" xfId="2" applyFont="1" applyAlignment="1">
      <alignment horizontal="left" indent="1"/>
    </xf>
    <xf numFmtId="164" fontId="15" fillId="0" borderId="1" xfId="1" applyNumberFormat="1" applyFont="1" applyFill="1" applyBorder="1"/>
    <xf numFmtId="164" fontId="12" fillId="0" borderId="0" xfId="3" applyNumberFormat="1" applyFont="1" applyAlignment="1">
      <alignment horizontal="left" vertical="center"/>
    </xf>
    <xf numFmtId="164" fontId="14" fillId="0" borderId="0" xfId="1" applyNumberFormat="1" applyFont="1" applyFill="1" applyBorder="1"/>
    <xf numFmtId="164" fontId="15" fillId="0" borderId="0" xfId="1" applyNumberFormat="1" applyFont="1" applyFill="1" applyBorder="1"/>
    <xf numFmtId="164" fontId="12" fillId="0" borderId="2" xfId="3" applyNumberFormat="1" applyFont="1" applyBorder="1" applyAlignment="1">
      <alignment vertical="center"/>
    </xf>
    <xf numFmtId="0" fontId="13" fillId="0" borderId="2" xfId="2" applyFont="1" applyBorder="1"/>
    <xf numFmtId="167" fontId="13" fillId="0" borderId="2" xfId="2" applyNumberFormat="1" applyFont="1" applyBorder="1"/>
    <xf numFmtId="164" fontId="14" fillId="0" borderId="2" xfId="1" applyNumberFormat="1" applyFont="1" applyFill="1" applyBorder="1"/>
    <xf numFmtId="4" fontId="15" fillId="0" borderId="0" xfId="1" applyNumberFormat="1" applyFont="1" applyFill="1"/>
    <xf numFmtId="3" fontId="15" fillId="0" borderId="0" xfId="1" applyNumberFormat="1" applyFont="1" applyFill="1"/>
    <xf numFmtId="0" fontId="17" fillId="0" borderId="0" xfId="2" applyFont="1"/>
    <xf numFmtId="0" fontId="5" fillId="0" borderId="1" xfId="2" applyFont="1" applyBorder="1" applyAlignment="1">
      <alignment horizontal="left" indent="1"/>
    </xf>
    <xf numFmtId="168" fontId="15" fillId="0" borderId="0" xfId="1" applyNumberFormat="1" applyFont="1" applyFill="1"/>
    <xf numFmtId="0" fontId="18" fillId="0" borderId="0" xfId="0" applyFont="1"/>
    <xf numFmtId="0" fontId="0" fillId="0" borderId="3" xfId="0" applyBorder="1"/>
    <xf numFmtId="0" fontId="21" fillId="0" borderId="0" xfId="0" applyFont="1"/>
    <xf numFmtId="0" fontId="22" fillId="0" borderId="0" xfId="0" applyFont="1"/>
    <xf numFmtId="0" fontId="20" fillId="2" borderId="0" xfId="0" applyFont="1" applyFill="1"/>
    <xf numFmtId="0" fontId="19" fillId="3" borderId="0" xfId="0" applyFont="1" applyFill="1" applyAlignment="1">
      <alignment horizontal="right"/>
    </xf>
    <xf numFmtId="0" fontId="0" fillId="4" borderId="0" xfId="0" applyFill="1"/>
    <xf numFmtId="0" fontId="0" fillId="0" borderId="4" xfId="0" applyBorder="1"/>
    <xf numFmtId="0" fontId="0" fillId="0" borderId="5" xfId="0" applyBorder="1"/>
    <xf numFmtId="0" fontId="23" fillId="0" borderId="5" xfId="0" applyFont="1" applyBorder="1"/>
    <xf numFmtId="0" fontId="19" fillId="5" borderId="0" xfId="0" applyFont="1" applyFill="1"/>
    <xf numFmtId="0" fontId="0" fillId="5" borderId="0" xfId="0" applyFill="1"/>
    <xf numFmtId="0" fontId="18" fillId="4" borderId="0" xfId="0" applyFont="1" applyFill="1"/>
    <xf numFmtId="0" fontId="19" fillId="0" borderId="4" xfId="0" applyFont="1" applyBorder="1"/>
    <xf numFmtId="165" fontId="23" fillId="0" borderId="5" xfId="0" applyNumberFormat="1" applyFont="1" applyBorder="1"/>
    <xf numFmtId="0" fontId="19" fillId="0" borderId="0" xfId="0" applyFont="1"/>
    <xf numFmtId="0" fontId="23" fillId="0" borderId="0" xfId="0" applyFont="1"/>
    <xf numFmtId="0" fontId="19" fillId="0" borderId="6" xfId="0" applyFont="1" applyBorder="1"/>
    <xf numFmtId="0" fontId="21" fillId="4" borderId="0" xfId="0" applyFont="1" applyFill="1"/>
    <xf numFmtId="0" fontId="19" fillId="4" borderId="0" xfId="0" applyFont="1" applyFill="1"/>
    <xf numFmtId="0" fontId="0" fillId="0" borderId="6" xfId="0" applyBorder="1"/>
    <xf numFmtId="169" fontId="0" fillId="0" borderId="6" xfId="0" applyNumberFormat="1" applyBorder="1"/>
    <xf numFmtId="170" fontId="19" fillId="0" borderId="6" xfId="0" applyNumberFormat="1" applyFont="1" applyBorder="1"/>
    <xf numFmtId="165" fontId="0" fillId="5" borderId="0" xfId="1" applyNumberFormat="1" applyFont="1" applyFill="1" applyBorder="1"/>
    <xf numFmtId="165" fontId="24" fillId="5" borderId="0" xfId="0" applyNumberFormat="1" applyFont="1" applyFill="1"/>
    <xf numFmtId="165" fontId="24" fillId="5" borderId="0" xfId="1" applyNumberFormat="1" applyFont="1" applyFill="1" applyBorder="1"/>
    <xf numFmtId="170" fontId="0" fillId="0" borderId="1" xfId="0" applyNumberFormat="1" applyBorder="1"/>
    <xf numFmtId="1" fontId="0" fillId="0" borderId="0" xfId="0" applyNumberFormat="1"/>
    <xf numFmtId="0" fontId="0" fillId="0" borderId="7" xfId="0" applyBorder="1"/>
    <xf numFmtId="0" fontId="19" fillId="0" borderId="7" xfId="0" applyFont="1" applyBorder="1"/>
    <xf numFmtId="170" fontId="19" fillId="0" borderId="7" xfId="0" applyNumberFormat="1" applyFont="1" applyBorder="1"/>
    <xf numFmtId="165" fontId="0" fillId="0" borderId="0" xfId="1" applyNumberFormat="1" applyFont="1" applyFill="1" applyBorder="1"/>
    <xf numFmtId="0" fontId="25" fillId="2" borderId="0" xfId="0" applyFont="1" applyFill="1"/>
    <xf numFmtId="0" fontId="19" fillId="0" borderId="8" xfId="0" applyFont="1" applyBorder="1"/>
    <xf numFmtId="0" fontId="0" fillId="0" borderId="8" xfId="0" applyBorder="1"/>
    <xf numFmtId="0" fontId="19" fillId="0" borderId="5" xfId="0" applyFont="1" applyBorder="1"/>
    <xf numFmtId="1" fontId="0" fillId="0" borderId="8" xfId="0" applyNumberFormat="1" applyBorder="1" applyAlignment="1">
      <alignment horizontal="right"/>
    </xf>
    <xf numFmtId="0" fontId="26" fillId="0" borderId="3" xfId="0" applyFont="1" applyBorder="1"/>
    <xf numFmtId="0" fontId="19" fillId="0" borderId="9" xfId="0" applyFont="1" applyBorder="1"/>
    <xf numFmtId="169" fontId="23" fillId="0" borderId="6" xfId="0" applyNumberFormat="1" applyFont="1" applyBorder="1"/>
    <xf numFmtId="169" fontId="23" fillId="0" borderId="1" xfId="0" applyNumberFormat="1" applyFont="1" applyBorder="1"/>
    <xf numFmtId="169" fontId="0" fillId="0" borderId="0" xfId="0" applyNumberFormat="1"/>
    <xf numFmtId="169" fontId="19" fillId="0" borderId="9" xfId="0" applyNumberFormat="1" applyFont="1" applyBorder="1"/>
    <xf numFmtId="165" fontId="19" fillId="5" borderId="0" xfId="0" applyNumberFormat="1" applyFont="1" applyFill="1"/>
    <xf numFmtId="165" fontId="19" fillId="5" borderId="0" xfId="1" applyNumberFormat="1" applyFont="1" applyFill="1"/>
    <xf numFmtId="170" fontId="0" fillId="0" borderId="6" xfId="0" applyNumberFormat="1" applyBorder="1"/>
    <xf numFmtId="170" fontId="0" fillId="0" borderId="0" xfId="0" applyNumberFormat="1"/>
    <xf numFmtId="170" fontId="19" fillId="0" borderId="9" xfId="0" applyNumberFormat="1" applyFont="1" applyBorder="1"/>
    <xf numFmtId="9" fontId="27" fillId="5" borderId="0" xfId="0" applyNumberFormat="1" applyFont="1" applyFill="1"/>
    <xf numFmtId="0" fontId="28" fillId="4" borderId="0" xfId="0" applyFont="1" applyFill="1"/>
    <xf numFmtId="0" fontId="29" fillId="0" borderId="0" xfId="0" applyFont="1"/>
    <xf numFmtId="0" fontId="0" fillId="0" borderId="10" xfId="0" applyBorder="1"/>
    <xf numFmtId="0" fontId="19" fillId="0" borderId="10" xfId="0" applyFont="1" applyBorder="1"/>
    <xf numFmtId="165" fontId="0" fillId="5" borderId="0" xfId="1" applyNumberFormat="1" applyFont="1" applyFill="1"/>
    <xf numFmtId="0" fontId="30" fillId="4" borderId="0" xfId="0" applyFont="1" applyFill="1"/>
    <xf numFmtId="0" fontId="0" fillId="0" borderId="11" xfId="0" applyBorder="1"/>
    <xf numFmtId="0" fontId="0" fillId="0" borderId="13" xfId="0" applyBorder="1"/>
    <xf numFmtId="0" fontId="23" fillId="0" borderId="12" xfId="0" applyFont="1" applyBorder="1"/>
    <xf numFmtId="0" fontId="23" fillId="0" borderId="14" xfId="0" applyFont="1" applyBorder="1"/>
    <xf numFmtId="9" fontId="23" fillId="0" borderId="12" xfId="0" applyNumberFormat="1" applyFont="1" applyBorder="1"/>
    <xf numFmtId="9" fontId="23" fillId="0" borderId="14" xfId="0" applyNumberFormat="1" applyFont="1" applyBorder="1"/>
    <xf numFmtId="0" fontId="0" fillId="0" borderId="0" xfId="0" applyAlignment="1">
      <alignment horizontal="right"/>
    </xf>
    <xf numFmtId="0" fontId="0" fillId="0" borderId="15" xfId="0" applyBorder="1"/>
    <xf numFmtId="0" fontId="0" fillId="0" borderId="16" xfId="0" applyBorder="1"/>
    <xf numFmtId="165" fontId="0" fillId="0" borderId="0" xfId="1" applyNumberFormat="1" applyFont="1"/>
    <xf numFmtId="0" fontId="19" fillId="0" borderId="17" xfId="0" applyFont="1" applyBorder="1"/>
    <xf numFmtId="170" fontId="19" fillId="0" borderId="17" xfId="0" applyNumberFormat="1" applyFont="1" applyBorder="1"/>
    <xf numFmtId="170" fontId="31" fillId="0" borderId="6" xfId="0" applyNumberFormat="1" applyFont="1" applyBorder="1"/>
    <xf numFmtId="2" fontId="23" fillId="0" borderId="5" xfId="0" applyNumberFormat="1" applyFont="1" applyBorder="1"/>
    <xf numFmtId="0" fontId="0" fillId="0" borderId="0" xfId="0" quotePrefix="1"/>
    <xf numFmtId="165" fontId="32" fillId="5" borderId="5" xfId="0" applyNumberFormat="1" applyFont="1" applyFill="1" applyBorder="1"/>
    <xf numFmtId="0" fontId="32" fillId="5" borderId="0" xfId="0" applyFont="1" applyFill="1"/>
    <xf numFmtId="2" fontId="32" fillId="5" borderId="5" xfId="0" applyNumberFormat="1" applyFont="1" applyFill="1" applyBorder="1"/>
    <xf numFmtId="170" fontId="19" fillId="0" borderId="0" xfId="0" applyNumberFormat="1" applyFont="1"/>
    <xf numFmtId="171" fontId="28" fillId="4" borderId="0" xfId="0" applyNumberFormat="1" applyFont="1" applyFill="1"/>
    <xf numFmtId="0" fontId="0" fillId="0" borderId="0" xfId="0" applyAlignment="1">
      <alignment horizontal="left" indent="1"/>
    </xf>
    <xf numFmtId="170" fontId="24" fillId="0" borderId="0" xfId="0" applyNumberFormat="1" applyFont="1"/>
    <xf numFmtId="170" fontId="24" fillId="0" borderId="10" xfId="0" applyNumberFormat="1" applyFont="1" applyBorder="1"/>
    <xf numFmtId="170" fontId="0" fillId="0" borderId="10" xfId="0" applyNumberFormat="1" applyBorder="1"/>
    <xf numFmtId="172" fontId="23" fillId="0" borderId="16" xfId="0" applyNumberFormat="1" applyFont="1" applyBorder="1"/>
    <xf numFmtId="173" fontId="0" fillId="0" borderId="0" xfId="0" applyNumberFormat="1" applyAlignment="1">
      <alignment horizontal="left"/>
    </xf>
    <xf numFmtId="169" fontId="0" fillId="5" borderId="0" xfId="0" applyNumberFormat="1" applyFill="1"/>
    <xf numFmtId="170" fontId="0" fillId="5" borderId="0" xfId="0" applyNumberFormat="1" applyFill="1"/>
    <xf numFmtId="170" fontId="19" fillId="0" borderId="10" xfId="0" applyNumberFormat="1" applyFont="1" applyBorder="1"/>
    <xf numFmtId="0" fontId="0" fillId="0" borderId="9" xfId="0" applyBorder="1"/>
    <xf numFmtId="170" fontId="0" fillId="0" borderId="9" xfId="0" applyNumberFormat="1" applyBorder="1"/>
    <xf numFmtId="165" fontId="0" fillId="0" borderId="0" xfId="0" applyNumberFormat="1"/>
    <xf numFmtId="0" fontId="20" fillId="2" borderId="0" xfId="0" applyFont="1" applyFill="1" applyAlignment="1">
      <alignment horizontal="center"/>
    </xf>
    <xf numFmtId="170" fontId="23" fillId="0" borderId="1" xfId="0" applyNumberFormat="1" applyFont="1" applyBorder="1"/>
    <xf numFmtId="164" fontId="0" fillId="0" borderId="0" xfId="0" applyNumberFormat="1"/>
    <xf numFmtId="164" fontId="24" fillId="0" borderId="0" xfId="0" applyNumberFormat="1" applyFont="1"/>
    <xf numFmtId="9" fontId="0" fillId="5" borderId="0" xfId="1" applyFont="1" applyFill="1"/>
    <xf numFmtId="0" fontId="0" fillId="3" borderId="0" xfId="0" applyFill="1"/>
    <xf numFmtId="9" fontId="0" fillId="3" borderId="0" xfId="1" applyFont="1" applyFill="1"/>
    <xf numFmtId="170" fontId="31" fillId="0" borderId="10" xfId="0" applyNumberFormat="1" applyFont="1" applyBorder="1"/>
    <xf numFmtId="174" fontId="23" fillId="0" borderId="0" xfId="0" applyNumberFormat="1" applyFont="1"/>
    <xf numFmtId="175" fontId="19" fillId="5" borderId="0" xfId="0" applyNumberFormat="1" applyFont="1" applyFill="1"/>
    <xf numFmtId="170" fontId="23" fillId="0" borderId="0" xfId="0" applyNumberFormat="1" applyFont="1"/>
    <xf numFmtId="9" fontId="0" fillId="0" borderId="0" xfId="0" applyNumberFormat="1"/>
    <xf numFmtId="9" fontId="23" fillId="0" borderId="0" xfId="0" applyNumberFormat="1" applyFont="1"/>
    <xf numFmtId="9" fontId="0" fillId="0" borderId="6" xfId="0" applyNumberFormat="1" applyBorder="1"/>
    <xf numFmtId="165" fontId="24" fillId="5" borderId="0" xfId="1" applyNumberFormat="1" applyFont="1" applyFill="1"/>
    <xf numFmtId="173" fontId="0" fillId="0" borderId="3" xfId="0" applyNumberFormat="1" applyBorder="1"/>
    <xf numFmtId="177" fontId="24" fillId="0" borderId="0" xfId="0" applyNumberFormat="1" applyFont="1"/>
    <xf numFmtId="177" fontId="19" fillId="0" borderId="6" xfId="0" applyNumberFormat="1" applyFont="1" applyBorder="1"/>
    <xf numFmtId="177" fontId="23" fillId="0" borderId="0" xfId="0" applyNumberFormat="1" applyFont="1"/>
    <xf numFmtId="0" fontId="26" fillId="0" borderId="0" xfId="0" applyFont="1"/>
    <xf numFmtId="173" fontId="0" fillId="0" borderId="0" xfId="0" applyNumberFormat="1"/>
    <xf numFmtId="164" fontId="34" fillId="0" borderId="0" xfId="3" applyNumberFormat="1" applyFont="1" applyAlignment="1">
      <alignment horizontal="left" vertical="center"/>
    </xf>
    <xf numFmtId="177" fontId="0" fillId="0" borderId="0" xfId="0" applyNumberFormat="1"/>
    <xf numFmtId="164" fontId="34" fillId="0" borderId="0" xfId="3" applyNumberFormat="1" applyFont="1" applyAlignment="1">
      <alignment horizontal="left" vertical="center" indent="1"/>
    </xf>
    <xf numFmtId="164" fontId="4" fillId="0" borderId="6" xfId="3" applyNumberFormat="1" applyFont="1" applyBorder="1" applyAlignment="1">
      <alignment vertical="center"/>
    </xf>
    <xf numFmtId="177" fontId="0" fillId="0" borderId="6" xfId="0" applyNumberFormat="1" applyBorder="1"/>
    <xf numFmtId="164" fontId="34" fillId="0" borderId="0" xfId="3" applyNumberFormat="1" applyFont="1" applyAlignment="1">
      <alignment vertical="center"/>
    </xf>
    <xf numFmtId="164" fontId="35" fillId="0" borderId="0" xfId="3" applyNumberFormat="1" applyFont="1" applyAlignment="1">
      <alignment horizontal="left" vertical="center"/>
    </xf>
    <xf numFmtId="0" fontId="2" fillId="0" borderId="0" xfId="2" applyFont="1" applyAlignment="1">
      <alignment horizontal="left" indent="1"/>
    </xf>
    <xf numFmtId="164" fontId="4" fillId="0" borderId="6" xfId="3" applyNumberFormat="1" applyFont="1" applyBorder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164" fontId="4" fillId="0" borderId="6" xfId="3" applyNumberFormat="1" applyFont="1" applyBorder="1" applyAlignment="1">
      <alignment horizontal="left" vertical="center" indent="1"/>
    </xf>
    <xf numFmtId="164" fontId="4" fillId="0" borderId="2" xfId="3" applyNumberFormat="1" applyFont="1" applyBorder="1" applyAlignment="1">
      <alignment vertical="center"/>
    </xf>
    <xf numFmtId="0" fontId="0" fillId="0" borderId="2" xfId="0" applyBorder="1"/>
    <xf numFmtId="177" fontId="0" fillId="0" borderId="2" xfId="0" applyNumberFormat="1" applyBorder="1"/>
    <xf numFmtId="0" fontId="0" fillId="5" borderId="0" xfId="0" applyFill="1" applyAlignment="1">
      <alignment horizontal="right"/>
    </xf>
    <xf numFmtId="173" fontId="23" fillId="0" borderId="3" xfId="0" applyNumberFormat="1" applyFont="1" applyBorder="1"/>
    <xf numFmtId="0" fontId="36" fillId="2" borderId="0" xfId="0" applyFont="1" applyFill="1"/>
    <xf numFmtId="173" fontId="36" fillId="2" borderId="0" xfId="0" applyNumberFormat="1" applyFont="1" applyFill="1"/>
    <xf numFmtId="164" fontId="34" fillId="0" borderId="1" xfId="3" applyNumberFormat="1" applyFont="1" applyBorder="1" applyAlignment="1">
      <alignment horizontal="left" vertical="center" indent="1"/>
    </xf>
    <xf numFmtId="0" fontId="37" fillId="0" borderId="0" xfId="2" applyFont="1"/>
    <xf numFmtId="0" fontId="37" fillId="0" borderId="2" xfId="2" applyFont="1" applyBorder="1"/>
    <xf numFmtId="0" fontId="2" fillId="0" borderId="1" xfId="2" applyFont="1" applyBorder="1" applyAlignment="1">
      <alignment horizontal="left" indent="1"/>
    </xf>
    <xf numFmtId="170" fontId="38" fillId="0" borderId="0" xfId="2" applyNumberFormat="1" applyFont="1"/>
    <xf numFmtId="170" fontId="13" fillId="0" borderId="6" xfId="2" applyNumberFormat="1" applyFont="1" applyBorder="1"/>
    <xf numFmtId="170" fontId="5" fillId="0" borderId="0" xfId="2" applyNumberFormat="1" applyFont="1"/>
    <xf numFmtId="170" fontId="15" fillId="0" borderId="0" xfId="1" applyNumberFormat="1" applyFont="1" applyFill="1"/>
    <xf numFmtId="170" fontId="5" fillId="0" borderId="6" xfId="2" applyNumberFormat="1" applyFont="1" applyBorder="1"/>
    <xf numFmtId="170" fontId="13" fillId="0" borderId="2" xfId="2" applyNumberFormat="1" applyFont="1" applyBorder="1"/>
    <xf numFmtId="170" fontId="38" fillId="0" borderId="0" xfId="1" applyNumberFormat="1" applyFont="1" applyFill="1"/>
    <xf numFmtId="174" fontId="0" fillId="5" borderId="0" xfId="0" applyNumberFormat="1" applyFill="1"/>
    <xf numFmtId="165" fontId="19" fillId="0" borderId="0" xfId="1" applyNumberFormat="1" applyFont="1" applyFill="1"/>
    <xf numFmtId="165" fontId="33" fillId="0" borderId="0" xfId="1" applyNumberFormat="1" applyFont="1" applyFill="1"/>
    <xf numFmtId="165" fontId="19" fillId="0" borderId="6" xfId="1" applyNumberFormat="1" applyFont="1" applyFill="1" applyBorder="1"/>
    <xf numFmtId="165" fontId="33" fillId="5" borderId="0" xfId="1" applyNumberFormat="1" applyFont="1" applyFill="1"/>
    <xf numFmtId="177" fontId="31" fillId="0" borderId="6" xfId="0" applyNumberFormat="1" applyFont="1" applyBorder="1"/>
    <xf numFmtId="170" fontId="13" fillId="6" borderId="2" xfId="2" applyNumberFormat="1" applyFont="1" applyFill="1" applyBorder="1"/>
    <xf numFmtId="165" fontId="24" fillId="0" borderId="0" xfId="1" applyNumberFormat="1" applyFont="1" applyFill="1"/>
    <xf numFmtId="170" fontId="31" fillId="0" borderId="0" xfId="0" applyNumberFormat="1" applyFont="1"/>
    <xf numFmtId="170" fontId="27" fillId="0" borderId="0" xfId="0" applyNumberFormat="1" applyFont="1"/>
    <xf numFmtId="171" fontId="0" fillId="0" borderId="0" xfId="0" applyNumberFormat="1"/>
    <xf numFmtId="9" fontId="0" fillId="0" borderId="0" xfId="1" applyFont="1" applyFill="1"/>
    <xf numFmtId="165" fontId="23" fillId="0" borderId="0" xfId="1" applyNumberFormat="1" applyFont="1" applyFill="1"/>
    <xf numFmtId="165" fontId="33" fillId="5" borderId="0" xfId="1" applyNumberFormat="1" applyFont="1" applyFill="1" applyBorder="1"/>
    <xf numFmtId="176" fontId="23" fillId="0" borderId="18" xfId="0" applyNumberFormat="1" applyFont="1" applyBorder="1"/>
    <xf numFmtId="9" fontId="24" fillId="0" borderId="0" xfId="1" applyFont="1"/>
    <xf numFmtId="165" fontId="24" fillId="0" borderId="0" xfId="1" applyNumberFormat="1" applyFont="1"/>
    <xf numFmtId="165" fontId="24" fillId="0" borderId="6" xfId="1" applyNumberFormat="1" applyFont="1" applyBorder="1"/>
    <xf numFmtId="165" fontId="31" fillId="0" borderId="6" xfId="1" applyNumberFormat="1" applyFont="1" applyBorder="1"/>
    <xf numFmtId="165" fontId="24" fillId="0" borderId="2" xfId="1" applyNumberFormat="1" applyFont="1" applyBorder="1"/>
    <xf numFmtId="165" fontId="38" fillId="0" borderId="0" xfId="1" applyNumberFormat="1" applyFont="1"/>
    <xf numFmtId="10" fontId="0" fillId="0" borderId="0" xfId="1" applyNumberFormat="1" applyFont="1"/>
    <xf numFmtId="165" fontId="24" fillId="2" borderId="0" xfId="1" applyNumberFormat="1" applyFont="1" applyFill="1"/>
    <xf numFmtId="165" fontId="39" fillId="0" borderId="0" xfId="1" applyNumberFormat="1" applyFont="1"/>
    <xf numFmtId="165" fontId="40" fillId="0" borderId="6" xfId="1" applyNumberFormat="1" applyFont="1" applyBorder="1"/>
    <xf numFmtId="165" fontId="39" fillId="0" borderId="0" xfId="1" applyNumberFormat="1" applyFont="1" applyFill="1"/>
    <xf numFmtId="165" fontId="40" fillId="0" borderId="2" xfId="1" applyNumberFormat="1" applyFont="1" applyBorder="1"/>
    <xf numFmtId="178" fontId="0" fillId="0" borderId="0" xfId="0" applyNumberFormat="1"/>
    <xf numFmtId="179" fontId="19" fillId="0" borderId="6" xfId="0" applyNumberFormat="1" applyFont="1" applyBorder="1"/>
    <xf numFmtId="174" fontId="19" fillId="0" borderId="6" xfId="0" applyNumberFormat="1" applyFont="1" applyBorder="1"/>
    <xf numFmtId="174" fontId="24" fillId="0" borderId="0" xfId="0" applyNumberFormat="1" applyFont="1"/>
    <xf numFmtId="165" fontId="19" fillId="0" borderId="6" xfId="1" applyNumberFormat="1" applyFont="1" applyBorder="1"/>
    <xf numFmtId="165" fontId="19" fillId="0" borderId="0" xfId="1" applyNumberFormat="1" applyFont="1" applyBorder="1"/>
    <xf numFmtId="180" fontId="19" fillId="0" borderId="6" xfId="1" applyNumberFormat="1" applyFont="1" applyBorder="1"/>
    <xf numFmtId="170" fontId="38" fillId="0" borderId="0" xfId="2" applyNumberFormat="1" applyFont="1" applyAlignment="1">
      <alignment horizontal="right"/>
    </xf>
    <xf numFmtId="165" fontId="19" fillId="0" borderId="6" xfId="1" applyNumberFormat="1" applyFont="1" applyBorder="1" applyAlignment="1">
      <alignment horizontal="right"/>
    </xf>
    <xf numFmtId="170" fontId="15" fillId="0" borderId="0" xfId="2" applyNumberFormat="1" applyFont="1"/>
    <xf numFmtId="179" fontId="19" fillId="0" borderId="6" xfId="1" applyNumberFormat="1" applyFont="1" applyBorder="1"/>
    <xf numFmtId="0" fontId="19" fillId="0" borderId="6" xfId="0" applyFont="1" applyBorder="1" applyAlignment="1">
      <alignment horizontal="left" indent="1"/>
    </xf>
    <xf numFmtId="0" fontId="19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9" fillId="0" borderId="2" xfId="0" applyFont="1" applyBorder="1" applyAlignment="1">
      <alignment horizontal="left" indent="2"/>
    </xf>
    <xf numFmtId="0" fontId="19" fillId="0" borderId="2" xfId="0" applyFont="1" applyBorder="1"/>
    <xf numFmtId="1" fontId="19" fillId="0" borderId="2" xfId="0" applyNumberFormat="1" applyFont="1" applyBorder="1"/>
    <xf numFmtId="165" fontId="19" fillId="0" borderId="6" xfId="0" applyNumberFormat="1" applyFont="1" applyBorder="1"/>
    <xf numFmtId="10" fontId="0" fillId="0" borderId="2" xfId="0" applyNumberFormat="1" applyBorder="1"/>
    <xf numFmtId="177" fontId="31" fillId="0" borderId="0" xfId="0" applyNumberFormat="1" applyFont="1"/>
    <xf numFmtId="180" fontId="0" fillId="0" borderId="0" xfId="0" applyNumberFormat="1"/>
    <xf numFmtId="9" fontId="0" fillId="5" borderId="0" xfId="0" applyNumberFormat="1" applyFill="1"/>
    <xf numFmtId="170" fontId="41" fillId="0" borderId="0" xfId="0" applyNumberFormat="1" applyFont="1"/>
    <xf numFmtId="179" fontId="0" fillId="5" borderId="0" xfId="0" applyNumberFormat="1" applyFill="1"/>
    <xf numFmtId="170" fontId="0" fillId="7" borderId="0" xfId="0" applyNumberFormat="1" applyFill="1"/>
    <xf numFmtId="3" fontId="0" fillId="0" borderId="1" xfId="0" applyNumberFormat="1" applyBorder="1"/>
    <xf numFmtId="181" fontId="0" fillId="0" borderId="0" xfId="0" applyNumberFormat="1"/>
    <xf numFmtId="0" fontId="20" fillId="2" borderId="0" xfId="0" applyFont="1" applyFill="1" applyAlignment="1">
      <alignment horizontal="center"/>
    </xf>
    <xf numFmtId="0" fontId="19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right" vertical="center" textRotation="90"/>
    </xf>
    <xf numFmtId="0" fontId="19" fillId="0" borderId="0" xfId="0" applyFont="1" applyAlignment="1">
      <alignment horizontal="center"/>
    </xf>
    <xf numFmtId="170" fontId="13" fillId="0" borderId="2" xfId="2" applyNumberFormat="1" applyFont="1" applyFill="1" applyBorder="1"/>
    <xf numFmtId="0" fontId="0" fillId="0" borderId="19" xfId="0" applyBorder="1"/>
    <xf numFmtId="0" fontId="23" fillId="0" borderId="18" xfId="0" applyFont="1" applyBorder="1"/>
    <xf numFmtId="9" fontId="0" fillId="0" borderId="18" xfId="0" applyNumberFormat="1" applyBorder="1" applyAlignment="1">
      <alignment horizontal="center"/>
    </xf>
  </cellXfs>
  <cellStyles count="4">
    <cellStyle name="Normal" xfId="0" builtinId="0"/>
    <cellStyle name="Normal 2" xfId="3" xr:uid="{3FDC719C-D55D-47C4-A983-FBE97D19701C}"/>
    <cellStyle name="Normal 3" xfId="2" xr:uid="{A8E48AEC-AEA1-424A-A68B-DCD242593CD0}"/>
    <cellStyle name="Percent" xfId="1" builtinId="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26" fmlaLink="$G$4" fmlaRange="$B$16:$B$18" noThreeD="1" sel="1" val="0"/>
</file>

<file path=xl/ctrlProps/ctrlProp2.xml><?xml version="1.0" encoding="utf-8"?>
<formControlPr xmlns="http://schemas.microsoft.com/office/spreadsheetml/2009/9/main" objectType="Drop" dropStyle="combo" dx="26" fmlaLink="ControlSheet!$G$4" fmlaRange="ControlSheet!$B$44:$B$46" noThreeD="1" sel="1" val="0"/>
</file>

<file path=xl/ctrlProps/ctrlProp3.xml><?xml version="1.0" encoding="utf-8"?>
<formControlPr xmlns="http://schemas.microsoft.com/office/spreadsheetml/2009/9/main" objectType="Drop" dropStyle="combo" dx="26" fmlaLink="ControlSheet!$G$4" fmlaRange="ControlSheet!$B$44:$B$46" noThreeD="1" sel="1" val="0"/>
</file>

<file path=xl/ctrlProps/ctrlProp4.xml><?xml version="1.0" encoding="utf-8"?>
<formControlPr xmlns="http://schemas.microsoft.com/office/spreadsheetml/2009/9/main" objectType="Drop" dropStyle="combo" dx="26" fmlaLink="ControlSheet!$G$4" fmlaRange="ControlSheet!$B$44:$B$46" noThreeD="1" sel="1" val="0"/>
</file>

<file path=xl/ctrlProps/ctrlProp5.xml><?xml version="1.0" encoding="utf-8"?>
<formControlPr xmlns="http://schemas.microsoft.com/office/spreadsheetml/2009/9/main" objectType="Drop" dropStyle="combo" dx="26" fmlaLink="ControlSheet!$G$4" fmlaRange="ControlSheet!$B$44:$B$46" noThreeD="1" sel="1" val="0"/>
</file>

<file path=xl/ctrlProps/ctrlProp6.xml><?xml version="1.0" encoding="utf-8"?>
<formControlPr xmlns="http://schemas.microsoft.com/office/spreadsheetml/2009/9/main" objectType="Drop" dropStyle="combo" dx="26" fmlaLink="ControlSheet!$G$4" fmlaRange="ControlSheet!$B$44:$B$46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</xdr:row>
          <xdr:rowOff>198120</xdr:rowOff>
        </xdr:from>
        <xdr:to>
          <xdr:col>8</xdr:col>
          <xdr:colOff>30480</xdr:colOff>
          <xdr:row>3</xdr:row>
          <xdr:rowOff>175260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</xdr:row>
          <xdr:rowOff>198120</xdr:rowOff>
        </xdr:from>
        <xdr:to>
          <xdr:col>6</xdr:col>
          <xdr:colOff>373380</xdr:colOff>
          <xdr:row>3</xdr:row>
          <xdr:rowOff>175260</xdr:rowOff>
        </xdr:to>
        <xdr:sp macro="" textlink="">
          <xdr:nvSpPr>
            <xdr:cNvPr id="10241" name="Drop Dow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2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</xdr:row>
          <xdr:rowOff>198120</xdr:rowOff>
        </xdr:from>
        <xdr:to>
          <xdr:col>7</xdr:col>
          <xdr:colOff>373380</xdr:colOff>
          <xdr:row>4</xdr:row>
          <xdr:rowOff>15240</xdr:rowOff>
        </xdr:to>
        <xdr:sp macro="" textlink="">
          <xdr:nvSpPr>
            <xdr:cNvPr id="18433" name="Drop Dow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3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</xdr:row>
          <xdr:rowOff>198120</xdr:rowOff>
        </xdr:from>
        <xdr:to>
          <xdr:col>7</xdr:col>
          <xdr:colOff>373380</xdr:colOff>
          <xdr:row>4</xdr:row>
          <xdr:rowOff>15240</xdr:rowOff>
        </xdr:to>
        <xdr:sp macro="" textlink="">
          <xdr:nvSpPr>
            <xdr:cNvPr id="32769" name="Drop Down 1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04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</xdr:row>
          <xdr:rowOff>198120</xdr:rowOff>
        </xdr:from>
        <xdr:to>
          <xdr:col>7</xdr:col>
          <xdr:colOff>373380</xdr:colOff>
          <xdr:row>4</xdr:row>
          <xdr:rowOff>15240</xdr:rowOff>
        </xdr:to>
        <xdr:sp macro="" textlink="">
          <xdr:nvSpPr>
            <xdr:cNvPr id="25601" name="Drop Down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05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</xdr:row>
          <xdr:rowOff>198120</xdr:rowOff>
        </xdr:from>
        <xdr:to>
          <xdr:col>6</xdr:col>
          <xdr:colOff>373381</xdr:colOff>
          <xdr:row>4</xdr:row>
          <xdr:rowOff>15240</xdr:rowOff>
        </xdr:to>
        <xdr:sp macro="" textlink="">
          <xdr:nvSpPr>
            <xdr:cNvPr id="38913" name="Drop Down 1" hidden="1">
              <a:extLst>
                <a:ext uri="{63B3BB69-23CF-44E3-9099-C40C66FF867C}">
                  <a14:compatExt spid="_x0000_s38913"/>
                </a:ext>
                <a:ext uri="{FF2B5EF4-FFF2-40B4-BE49-F238E27FC236}">
                  <a16:creationId xmlns:a16="http://schemas.microsoft.com/office/drawing/2014/main" id="{00000000-0008-0000-0600-000001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3026-F127-488A-BBF0-C781C92F2DD7}">
  <dimension ref="A1"/>
  <sheetViews>
    <sheetView workbookViewId="0">
      <selection activeCell="G25" sqref="G25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A1F0-04F1-47DB-9297-F1CDDFE87716}">
  <dimension ref="A2:M253"/>
  <sheetViews>
    <sheetView showGridLines="0" workbookViewId="0">
      <pane xSplit="1" ySplit="9" topLeftCell="B243" activePane="bottomRight" state="frozen"/>
      <selection pane="topRight" activeCell="B1" sqref="B1"/>
      <selection pane="bottomLeft" activeCell="A10" sqref="A10"/>
      <selection pane="bottomRight" activeCell="M173" sqref="M173"/>
    </sheetView>
  </sheetViews>
  <sheetFormatPr defaultRowHeight="14.4" outlineLevelRow="1" x14ac:dyDescent="0.3"/>
  <cols>
    <col min="1" max="1" width="1.88671875" customWidth="1"/>
    <col min="2" max="2" width="41.33203125" customWidth="1"/>
    <col min="6" max="6" width="11.44140625" bestFit="1" customWidth="1"/>
  </cols>
  <sheetData>
    <row r="2" spans="1:11" ht="23.4" x14ac:dyDescent="0.45">
      <c r="B2" s="47" t="s">
        <v>47</v>
      </c>
      <c r="C2" s="44"/>
    </row>
    <row r="3" spans="1:11" ht="18" x14ac:dyDescent="0.35">
      <c r="B3" s="46" t="s">
        <v>48</v>
      </c>
    </row>
    <row r="4" spans="1:11" x14ac:dyDescent="0.3">
      <c r="F4" t="s">
        <v>59</v>
      </c>
      <c r="G4">
        <v>1</v>
      </c>
    </row>
    <row r="8" spans="1:11" x14ac:dyDescent="0.3">
      <c r="F8" s="49" t="s">
        <v>50</v>
      </c>
      <c r="G8" s="235" t="s">
        <v>51</v>
      </c>
      <c r="H8" s="235"/>
      <c r="I8" s="235"/>
      <c r="J8" s="235"/>
      <c r="K8" s="235"/>
    </row>
    <row r="9" spans="1:11" x14ac:dyDescent="0.3">
      <c r="B9" s="81" t="s">
        <v>49</v>
      </c>
      <c r="C9" s="45"/>
      <c r="D9" s="45"/>
      <c r="E9" s="45"/>
      <c r="F9" s="45">
        <v>2023</v>
      </c>
      <c r="G9" s="45">
        <f>F9+1</f>
        <v>2024</v>
      </c>
      <c r="H9" s="45">
        <f t="shared" ref="H9:K9" si="0">G9+1</f>
        <v>2025</v>
      </c>
      <c r="I9" s="45">
        <f t="shared" si="0"/>
        <v>2026</v>
      </c>
      <c r="J9" s="45">
        <f t="shared" si="0"/>
        <v>2027</v>
      </c>
      <c r="K9" s="45">
        <f t="shared" si="0"/>
        <v>2028</v>
      </c>
    </row>
    <row r="11" spans="1:11" ht="18" x14ac:dyDescent="0.35">
      <c r="A11" t="s">
        <v>52</v>
      </c>
      <c r="B11" s="76" t="s">
        <v>53</v>
      </c>
      <c r="C11" s="48"/>
      <c r="D11" s="48"/>
      <c r="E11" s="48"/>
      <c r="F11" s="48"/>
      <c r="G11" s="48"/>
      <c r="H11" s="48"/>
      <c r="I11" s="48"/>
      <c r="J11" s="48"/>
      <c r="K11" s="48"/>
    </row>
    <row r="12" spans="1:11" outlineLevel="1" x14ac:dyDescent="0.3"/>
    <row r="13" spans="1:11" ht="18" outlineLevel="1" x14ac:dyDescent="0.35">
      <c r="B13" s="56" t="s">
        <v>54</v>
      </c>
      <c r="C13" s="50"/>
      <c r="D13" s="50"/>
      <c r="E13" s="50"/>
      <c r="F13" s="50"/>
      <c r="G13" s="50"/>
      <c r="H13" s="50"/>
      <c r="I13" s="50"/>
      <c r="J13" s="50"/>
      <c r="K13" s="50"/>
    </row>
    <row r="14" spans="1:11" ht="4.05" customHeight="1" outlineLevel="1" x14ac:dyDescent="0.3"/>
    <row r="15" spans="1:11" outlineLevel="1" x14ac:dyDescent="0.3">
      <c r="B15" s="57" t="s">
        <v>55</v>
      </c>
      <c r="C15" s="51"/>
      <c r="D15" s="51"/>
      <c r="E15" s="51"/>
      <c r="F15" s="51"/>
      <c r="G15" s="51"/>
      <c r="H15" s="51"/>
      <c r="I15" s="51"/>
      <c r="J15" s="51"/>
      <c r="K15" s="51"/>
    </row>
    <row r="16" spans="1:11" outlineLevel="1" x14ac:dyDescent="0.3">
      <c r="B16" s="53" t="s">
        <v>56</v>
      </c>
      <c r="C16" s="52"/>
      <c r="D16" s="52"/>
      <c r="E16" s="52"/>
      <c r="F16" s="58"/>
      <c r="G16" s="58">
        <v>0.03</v>
      </c>
      <c r="H16" s="58">
        <v>0.03</v>
      </c>
      <c r="I16" s="58">
        <v>0.03</v>
      </c>
      <c r="J16" s="58">
        <v>0.03</v>
      </c>
      <c r="K16" s="58">
        <v>0.03</v>
      </c>
    </row>
    <row r="17" spans="2:11" outlineLevel="1" x14ac:dyDescent="0.3">
      <c r="B17" s="53" t="s">
        <v>57</v>
      </c>
      <c r="C17" s="52"/>
      <c r="D17" s="52"/>
      <c r="E17" s="52"/>
      <c r="F17" s="52"/>
      <c r="G17" s="58">
        <v>0.04</v>
      </c>
      <c r="H17" s="58">
        <v>0.04</v>
      </c>
      <c r="I17" s="58">
        <v>0.04</v>
      </c>
      <c r="J17" s="58">
        <v>0.04</v>
      </c>
      <c r="K17" s="58">
        <v>0.04</v>
      </c>
    </row>
    <row r="18" spans="2:11" outlineLevel="1" x14ac:dyDescent="0.3">
      <c r="B18" s="53" t="s">
        <v>58</v>
      </c>
      <c r="C18" s="52"/>
      <c r="D18" s="52"/>
      <c r="E18" s="52"/>
      <c r="F18" s="52"/>
      <c r="G18" s="58">
        <v>0.02</v>
      </c>
      <c r="H18" s="58">
        <v>0.02</v>
      </c>
      <c r="I18" s="58">
        <v>0.02</v>
      </c>
      <c r="J18" s="58">
        <v>0.02</v>
      </c>
      <c r="K18" s="58">
        <v>0.02</v>
      </c>
    </row>
    <row r="19" spans="2:11" outlineLevel="1" x14ac:dyDescent="0.3">
      <c r="B19" s="54" t="str">
        <f>"Current Case - "&amp;CHOOSE($G$4,B16,B17,B18)</f>
        <v>Current Case - Management Case</v>
      </c>
      <c r="C19" s="55"/>
      <c r="D19" s="55"/>
      <c r="E19" s="55"/>
      <c r="F19" s="55"/>
      <c r="G19" s="114">
        <f>CHOOSE($G$4,G16,G17,G18)</f>
        <v>0.03</v>
      </c>
      <c r="H19" s="114">
        <f t="shared" ref="H19:K19" si="1">CHOOSE($G$4,H16,H17,H18)</f>
        <v>0.03</v>
      </c>
      <c r="I19" s="114">
        <f t="shared" si="1"/>
        <v>0.03</v>
      </c>
      <c r="J19" s="114">
        <f t="shared" si="1"/>
        <v>0.03</v>
      </c>
      <c r="K19" s="114">
        <f t="shared" si="1"/>
        <v>0.03</v>
      </c>
    </row>
    <row r="20" spans="2:11" outlineLevel="1" x14ac:dyDescent="0.3"/>
    <row r="21" spans="2:11" outlineLevel="1" x14ac:dyDescent="0.3">
      <c r="B21" s="57" t="s">
        <v>60</v>
      </c>
      <c r="C21" s="51"/>
      <c r="D21" s="51"/>
      <c r="E21" s="51"/>
      <c r="F21" s="51"/>
      <c r="G21" s="51"/>
      <c r="H21" s="51"/>
      <c r="I21" s="51"/>
      <c r="J21" s="51"/>
      <c r="K21" s="51"/>
    </row>
    <row r="22" spans="2:11" outlineLevel="1" x14ac:dyDescent="0.3">
      <c r="B22" s="53" t="s">
        <v>56</v>
      </c>
      <c r="C22" s="52"/>
      <c r="D22" s="52"/>
      <c r="E22" s="52"/>
      <c r="F22" s="58"/>
      <c r="G22" s="58">
        <v>0.08</v>
      </c>
      <c r="H22" s="58">
        <v>0.08</v>
      </c>
      <c r="I22" s="58">
        <v>0.08</v>
      </c>
      <c r="J22" s="58">
        <v>7.0000000000000007E-2</v>
      </c>
      <c r="K22" s="58">
        <v>7.0000000000000007E-2</v>
      </c>
    </row>
    <row r="23" spans="2:11" outlineLevel="1" x14ac:dyDescent="0.3">
      <c r="B23" s="53" t="s">
        <v>57</v>
      </c>
      <c r="C23" s="52"/>
      <c r="D23" s="52"/>
      <c r="E23" s="52"/>
      <c r="F23" s="52"/>
      <c r="G23" s="58">
        <v>0.09</v>
      </c>
      <c r="H23" s="58">
        <v>0.09</v>
      </c>
      <c r="I23" s="58">
        <v>0.09</v>
      </c>
      <c r="J23" s="58">
        <v>0.09</v>
      </c>
      <c r="K23" s="58">
        <v>0.09</v>
      </c>
    </row>
    <row r="24" spans="2:11" outlineLevel="1" x14ac:dyDescent="0.3">
      <c r="B24" s="53" t="s">
        <v>58</v>
      </c>
      <c r="C24" s="52"/>
      <c r="D24" s="52"/>
      <c r="E24" s="52"/>
      <c r="F24" s="52"/>
      <c r="G24" s="58">
        <v>7.0000000000000007E-2</v>
      </c>
      <c r="H24" s="58">
        <v>7.0000000000000007E-2</v>
      </c>
      <c r="I24" s="58">
        <v>7.0000000000000007E-2</v>
      </c>
      <c r="J24" s="58">
        <v>7.0000000000000007E-2</v>
      </c>
      <c r="K24" s="58">
        <v>7.0000000000000007E-2</v>
      </c>
    </row>
    <row r="25" spans="2:11" outlineLevel="1" x14ac:dyDescent="0.3">
      <c r="B25" s="54" t="str">
        <f>"Current Case - "&amp;CHOOSE($G$4,B22,B23,B24)</f>
        <v>Current Case - Management Case</v>
      </c>
      <c r="C25" s="55"/>
      <c r="D25" s="55"/>
      <c r="E25" s="55"/>
      <c r="F25" s="55"/>
      <c r="G25" s="114">
        <f>CHOOSE($G$4,G22,G23,G24)</f>
        <v>0.08</v>
      </c>
      <c r="H25" s="114">
        <f t="shared" ref="H25:K25" si="2">CHOOSE($G$4,H22,H23,H24)</f>
        <v>0.08</v>
      </c>
      <c r="I25" s="114">
        <f t="shared" si="2"/>
        <v>0.08</v>
      </c>
      <c r="J25" s="114">
        <f t="shared" si="2"/>
        <v>7.0000000000000007E-2</v>
      </c>
      <c r="K25" s="114">
        <f t="shared" si="2"/>
        <v>7.0000000000000007E-2</v>
      </c>
    </row>
    <row r="26" spans="2:11" outlineLevel="1" x14ac:dyDescent="0.3"/>
    <row r="27" spans="2:11" ht="18" outlineLevel="1" x14ac:dyDescent="0.35">
      <c r="B27" s="56" t="s">
        <v>61</v>
      </c>
      <c r="C27" s="50"/>
      <c r="D27" s="50"/>
      <c r="E27" s="50"/>
      <c r="F27" s="50"/>
      <c r="G27" s="50"/>
      <c r="H27" s="50"/>
      <c r="I27" s="50"/>
      <c r="J27" s="50"/>
      <c r="K27" s="50"/>
    </row>
    <row r="28" spans="2:11" ht="4.05" customHeight="1" outlineLevel="1" x14ac:dyDescent="0.3"/>
    <row r="29" spans="2:11" outlineLevel="1" x14ac:dyDescent="0.3">
      <c r="B29" s="57" t="s">
        <v>63</v>
      </c>
      <c r="C29" s="51"/>
      <c r="D29" s="51"/>
      <c r="E29" s="51"/>
      <c r="F29" s="51"/>
      <c r="G29" s="51"/>
      <c r="H29" s="51"/>
      <c r="I29" s="51"/>
      <c r="J29" s="51"/>
      <c r="K29" s="51"/>
    </row>
    <row r="30" spans="2:11" outlineLevel="1" x14ac:dyDescent="0.3">
      <c r="B30" s="53" t="s">
        <v>56</v>
      </c>
      <c r="C30" s="52"/>
      <c r="D30" s="52"/>
      <c r="E30" s="52"/>
      <c r="F30" s="58"/>
      <c r="G30" s="58">
        <v>0.02</v>
      </c>
      <c r="H30" s="58">
        <v>0.02</v>
      </c>
      <c r="I30" s="58">
        <v>0.02</v>
      </c>
      <c r="J30" s="58">
        <v>0.02</v>
      </c>
      <c r="K30" s="58">
        <v>0.02</v>
      </c>
    </row>
    <row r="31" spans="2:11" outlineLevel="1" x14ac:dyDescent="0.3">
      <c r="B31" s="53" t="s">
        <v>57</v>
      </c>
      <c r="C31" s="52"/>
      <c r="D31" s="52"/>
      <c r="E31" s="52"/>
      <c r="F31" s="52"/>
      <c r="G31" s="58">
        <v>0.03</v>
      </c>
      <c r="H31" s="58">
        <v>0.03</v>
      </c>
      <c r="I31" s="58">
        <v>0.03</v>
      </c>
      <c r="J31" s="58">
        <v>0.03</v>
      </c>
      <c r="K31" s="58">
        <v>0.03</v>
      </c>
    </row>
    <row r="32" spans="2:11" outlineLevel="1" x14ac:dyDescent="0.3">
      <c r="B32" s="53" t="s">
        <v>58</v>
      </c>
      <c r="C32" s="52"/>
      <c r="D32" s="52"/>
      <c r="E32" s="52"/>
      <c r="F32" s="52"/>
      <c r="G32" s="58">
        <v>0.01</v>
      </c>
      <c r="H32" s="58">
        <v>0.01</v>
      </c>
      <c r="I32" s="58">
        <v>0.01</v>
      </c>
      <c r="J32" s="58">
        <v>0.01</v>
      </c>
      <c r="K32" s="58">
        <v>0.01</v>
      </c>
    </row>
    <row r="33" spans="2:11" outlineLevel="1" x14ac:dyDescent="0.3">
      <c r="B33" s="54" t="str">
        <f>"Current Case - "&amp;CHOOSE($G$4,B30,B31,B32)</f>
        <v>Current Case - Management Case</v>
      </c>
      <c r="C33" s="55"/>
      <c r="D33" s="55"/>
      <c r="E33" s="55"/>
      <c r="F33" s="55"/>
      <c r="G33" s="114">
        <f>CHOOSE($G$4,G30,G31,G32)</f>
        <v>0.02</v>
      </c>
      <c r="H33" s="114">
        <f t="shared" ref="H33:K33" si="3">CHOOSE($G$4,H30,H31,H32)</f>
        <v>0.02</v>
      </c>
      <c r="I33" s="114">
        <f t="shared" si="3"/>
        <v>0.02</v>
      </c>
      <c r="J33" s="114">
        <f t="shared" si="3"/>
        <v>0.02</v>
      </c>
      <c r="K33" s="114">
        <f t="shared" si="3"/>
        <v>0.02</v>
      </c>
    </row>
    <row r="34" spans="2:11" outlineLevel="1" x14ac:dyDescent="0.3"/>
    <row r="35" spans="2:11" outlineLevel="1" x14ac:dyDescent="0.3">
      <c r="B35" s="57" t="s">
        <v>64</v>
      </c>
      <c r="C35" s="51"/>
      <c r="D35" s="51"/>
      <c r="E35" s="51"/>
      <c r="F35" s="51"/>
      <c r="G35" s="51"/>
      <c r="H35" s="51"/>
      <c r="I35" s="51"/>
      <c r="J35" s="51"/>
      <c r="K35" s="51"/>
    </row>
    <row r="36" spans="2:11" outlineLevel="1" x14ac:dyDescent="0.3">
      <c r="B36" s="53" t="s">
        <v>56</v>
      </c>
      <c r="C36" s="52"/>
      <c r="D36" s="52"/>
      <c r="E36" s="52"/>
      <c r="F36" s="58"/>
      <c r="G36" s="58">
        <v>7.0000000000000007E-2</v>
      </c>
      <c r="H36" s="58">
        <v>7.0000000000000007E-2</v>
      </c>
      <c r="I36" s="58">
        <v>7.0000000000000007E-2</v>
      </c>
      <c r="J36" s="58">
        <v>0.05</v>
      </c>
      <c r="K36" s="58">
        <v>0.05</v>
      </c>
    </row>
    <row r="37" spans="2:11" outlineLevel="1" x14ac:dyDescent="0.3">
      <c r="B37" s="53" t="s">
        <v>57</v>
      </c>
      <c r="C37" s="52"/>
      <c r="D37" s="52"/>
      <c r="E37" s="52"/>
      <c r="F37" s="52"/>
      <c r="G37" s="58">
        <v>0.08</v>
      </c>
      <c r="H37" s="58">
        <v>0.08</v>
      </c>
      <c r="I37" s="58">
        <v>0.08</v>
      </c>
      <c r="J37" s="58">
        <v>0.08</v>
      </c>
      <c r="K37" s="58">
        <v>0.08</v>
      </c>
    </row>
    <row r="38" spans="2:11" outlineLevel="1" x14ac:dyDescent="0.3">
      <c r="B38" s="53" t="s">
        <v>58</v>
      </c>
      <c r="C38" s="52"/>
      <c r="D38" s="52"/>
      <c r="E38" s="52"/>
      <c r="F38" s="52"/>
      <c r="G38" s="58">
        <v>0.06</v>
      </c>
      <c r="H38" s="58">
        <v>0.06</v>
      </c>
      <c r="I38" s="58">
        <v>0.06</v>
      </c>
      <c r="J38" s="58">
        <v>0.06</v>
      </c>
      <c r="K38" s="58">
        <v>0.06</v>
      </c>
    </row>
    <row r="39" spans="2:11" outlineLevel="1" x14ac:dyDescent="0.3">
      <c r="B39" s="54" t="str">
        <f>"Current Case - "&amp;CHOOSE($G$4,B36,B37,B38)</f>
        <v>Current Case - Management Case</v>
      </c>
      <c r="C39" s="55"/>
      <c r="D39" s="55"/>
      <c r="E39" s="55"/>
      <c r="F39" s="55"/>
      <c r="G39" s="114">
        <f>CHOOSE($G$4,G36,G37,G38)</f>
        <v>7.0000000000000007E-2</v>
      </c>
      <c r="H39" s="114">
        <f t="shared" ref="H39:K39" si="4">CHOOSE($G$4,H36,H37,H38)</f>
        <v>7.0000000000000007E-2</v>
      </c>
      <c r="I39" s="114">
        <f t="shared" si="4"/>
        <v>7.0000000000000007E-2</v>
      </c>
      <c r="J39" s="114">
        <f t="shared" si="4"/>
        <v>0.05</v>
      </c>
      <c r="K39" s="114">
        <f t="shared" si="4"/>
        <v>0.05</v>
      </c>
    </row>
    <row r="40" spans="2:11" outlineLevel="1" x14ac:dyDescent="0.3"/>
    <row r="41" spans="2:11" ht="18" outlineLevel="1" x14ac:dyDescent="0.35">
      <c r="B41" s="62" t="s">
        <v>62</v>
      </c>
      <c r="C41" s="50"/>
      <c r="D41" s="50"/>
      <c r="E41" s="50"/>
      <c r="F41" s="50"/>
      <c r="G41" s="50"/>
      <c r="H41" s="50"/>
      <c r="I41" s="50"/>
      <c r="J41" s="50"/>
      <c r="K41" s="50"/>
    </row>
    <row r="42" spans="2:11" ht="4.05" customHeight="1" outlineLevel="1" x14ac:dyDescent="0.3"/>
    <row r="43" spans="2:11" outlineLevel="1" x14ac:dyDescent="0.3">
      <c r="B43" s="57" t="s">
        <v>63</v>
      </c>
      <c r="C43" s="51"/>
      <c r="D43" s="51"/>
      <c r="E43" s="51"/>
      <c r="F43" s="51"/>
      <c r="G43" s="51"/>
      <c r="H43" s="51"/>
      <c r="I43" s="51"/>
      <c r="J43" s="51"/>
      <c r="K43" s="51"/>
    </row>
    <row r="44" spans="2:11" outlineLevel="1" x14ac:dyDescent="0.3">
      <c r="B44" s="53" t="s">
        <v>56</v>
      </c>
      <c r="C44" s="52"/>
      <c r="D44" s="52"/>
      <c r="E44" s="52"/>
      <c r="F44" s="58"/>
      <c r="G44" s="58">
        <v>0.01</v>
      </c>
      <c r="H44" s="58">
        <v>0.01</v>
      </c>
      <c r="I44" s="58">
        <v>0.01</v>
      </c>
      <c r="J44" s="58">
        <v>0.01</v>
      </c>
      <c r="K44" s="58">
        <v>0.01</v>
      </c>
    </row>
    <row r="45" spans="2:11" outlineLevel="1" x14ac:dyDescent="0.3">
      <c r="B45" s="53" t="s">
        <v>57</v>
      </c>
      <c r="C45" s="52"/>
      <c r="D45" s="52"/>
      <c r="E45" s="52"/>
      <c r="F45" s="52"/>
      <c r="G45" s="58">
        <v>0.02</v>
      </c>
      <c r="H45" s="58">
        <v>0.02</v>
      </c>
      <c r="I45" s="58">
        <v>0.02</v>
      </c>
      <c r="J45" s="58">
        <v>0.02</v>
      </c>
      <c r="K45" s="58">
        <v>0.02</v>
      </c>
    </row>
    <row r="46" spans="2:11" outlineLevel="1" x14ac:dyDescent="0.3">
      <c r="B46" s="53" t="s">
        <v>58</v>
      </c>
      <c r="C46" s="52"/>
      <c r="D46" s="52"/>
      <c r="E46" s="52"/>
      <c r="F46" s="52"/>
      <c r="G46" s="58">
        <v>0</v>
      </c>
      <c r="H46" s="58">
        <v>0</v>
      </c>
      <c r="I46" s="58">
        <v>0</v>
      </c>
      <c r="J46" s="58">
        <v>0</v>
      </c>
      <c r="K46" s="58">
        <v>0</v>
      </c>
    </row>
    <row r="47" spans="2:11" outlineLevel="1" x14ac:dyDescent="0.3">
      <c r="B47" s="54" t="str">
        <f>"Current Case - "&amp;CHOOSE($G$4,B44,B45,B46)</f>
        <v>Current Case - Management Case</v>
      </c>
      <c r="C47" s="55"/>
      <c r="D47" s="55"/>
      <c r="E47" s="55"/>
      <c r="F47" s="55"/>
      <c r="G47" s="114">
        <f>CHOOSE($G$4,G44,G45,G46)</f>
        <v>0.01</v>
      </c>
      <c r="H47" s="114">
        <f t="shared" ref="H47:K47" si="5">CHOOSE($G$4,H44,H45,H46)</f>
        <v>0.01</v>
      </c>
      <c r="I47" s="114">
        <f t="shared" si="5"/>
        <v>0.01</v>
      </c>
      <c r="J47" s="114">
        <f t="shared" si="5"/>
        <v>0.01</v>
      </c>
      <c r="K47" s="114">
        <f t="shared" si="5"/>
        <v>0.01</v>
      </c>
    </row>
    <row r="48" spans="2:11" outlineLevel="1" x14ac:dyDescent="0.3"/>
    <row r="49" spans="1:11" outlineLevel="1" x14ac:dyDescent="0.3">
      <c r="B49" s="57" t="s">
        <v>64</v>
      </c>
      <c r="C49" s="51"/>
      <c r="D49" s="51"/>
      <c r="E49" s="51"/>
      <c r="F49" s="51"/>
      <c r="G49" s="51"/>
      <c r="H49" s="51"/>
      <c r="I49" s="51"/>
      <c r="J49" s="51"/>
      <c r="K49" s="51"/>
    </row>
    <row r="50" spans="1:11" outlineLevel="1" x14ac:dyDescent="0.3">
      <c r="B50" s="53" t="s">
        <v>56</v>
      </c>
      <c r="C50" s="52"/>
      <c r="D50" s="52"/>
      <c r="E50" s="52"/>
      <c r="F50" s="58"/>
      <c r="G50" s="58">
        <v>0.05</v>
      </c>
      <c r="H50" s="58">
        <v>0.05</v>
      </c>
      <c r="I50" s="58">
        <v>0.03</v>
      </c>
      <c r="J50" s="58">
        <v>0.03</v>
      </c>
      <c r="K50" s="58">
        <v>0.03</v>
      </c>
    </row>
    <row r="51" spans="1:11" outlineLevel="1" x14ac:dyDescent="0.3">
      <c r="B51" s="53" t="s">
        <v>57</v>
      </c>
      <c r="C51" s="52"/>
      <c r="D51" s="52"/>
      <c r="E51" s="52"/>
      <c r="F51" s="52"/>
      <c r="G51" s="58">
        <v>0.06</v>
      </c>
      <c r="H51" s="58">
        <v>0.06</v>
      </c>
      <c r="I51" s="58">
        <v>0.06</v>
      </c>
      <c r="J51" s="58">
        <v>0.06</v>
      </c>
      <c r="K51" s="58">
        <v>0.06</v>
      </c>
    </row>
    <row r="52" spans="1:11" outlineLevel="1" x14ac:dyDescent="0.3">
      <c r="B52" s="53" t="s">
        <v>58</v>
      </c>
      <c r="C52" s="52"/>
      <c r="D52" s="52"/>
      <c r="E52" s="52"/>
      <c r="F52" s="52"/>
      <c r="G52" s="58">
        <v>0.04</v>
      </c>
      <c r="H52" s="58">
        <v>0.04</v>
      </c>
      <c r="I52" s="58">
        <v>0.04</v>
      </c>
      <c r="J52" s="58">
        <v>0.04</v>
      </c>
      <c r="K52" s="58">
        <v>0.04</v>
      </c>
    </row>
    <row r="53" spans="1:11" outlineLevel="1" x14ac:dyDescent="0.3">
      <c r="B53" s="54" t="str">
        <f>"Current Case - "&amp;CHOOSE($G$4,B50,B51,B52)</f>
        <v>Current Case - Management Case</v>
      </c>
      <c r="C53" s="55"/>
      <c r="D53" s="55"/>
      <c r="E53" s="55"/>
      <c r="F53" s="55"/>
      <c r="G53" s="114">
        <f>CHOOSE($G$4,G50,G51,G52)</f>
        <v>0.05</v>
      </c>
      <c r="H53" s="114">
        <f t="shared" ref="H53:K53" si="6">CHOOSE($G$4,H50,H51,H52)</f>
        <v>0.05</v>
      </c>
      <c r="I53" s="114">
        <f t="shared" si="6"/>
        <v>0.03</v>
      </c>
      <c r="J53" s="114">
        <f t="shared" si="6"/>
        <v>0.03</v>
      </c>
      <c r="K53" s="114">
        <f t="shared" si="6"/>
        <v>0.03</v>
      </c>
    </row>
    <row r="55" spans="1:11" ht="18" x14ac:dyDescent="0.35">
      <c r="A55" t="s">
        <v>52</v>
      </c>
      <c r="B55" s="76" t="s">
        <v>77</v>
      </c>
      <c r="C55" s="48"/>
      <c r="D55" s="48"/>
      <c r="E55" s="48"/>
      <c r="F55" s="48"/>
      <c r="G55" s="48"/>
      <c r="H55" s="48"/>
      <c r="I55" s="48"/>
      <c r="J55" s="48"/>
      <c r="K55" s="48"/>
    </row>
    <row r="56" spans="1:11" outlineLevel="1" x14ac:dyDescent="0.3"/>
    <row r="57" spans="1:11" ht="18" outlineLevel="1" x14ac:dyDescent="0.35">
      <c r="B57" s="62" t="s">
        <v>54</v>
      </c>
      <c r="C57" s="50"/>
      <c r="D57" s="50"/>
      <c r="E57" s="50"/>
      <c r="F57" s="50"/>
      <c r="G57" s="50"/>
      <c r="H57" s="50"/>
      <c r="I57" s="50"/>
      <c r="J57" s="50"/>
      <c r="K57" s="50"/>
    </row>
    <row r="58" spans="1:11" ht="4.05" customHeight="1" outlineLevel="1" x14ac:dyDescent="0.3"/>
    <row r="59" spans="1:11" outlineLevel="1" x14ac:dyDescent="0.3">
      <c r="B59" s="79" t="s">
        <v>79</v>
      </c>
      <c r="C59" s="52"/>
      <c r="D59" s="52"/>
      <c r="E59" s="52"/>
      <c r="F59" s="52"/>
      <c r="G59" s="52"/>
      <c r="H59" s="52"/>
      <c r="I59" s="52"/>
      <c r="J59" s="52"/>
      <c r="K59" s="52"/>
    </row>
    <row r="60" spans="1:11" outlineLevel="1" x14ac:dyDescent="0.3">
      <c r="B60" s="53" t="s">
        <v>56</v>
      </c>
      <c r="C60" s="52"/>
      <c r="D60" s="52"/>
      <c r="E60" s="52"/>
      <c r="F60" s="58"/>
      <c r="G60" s="58">
        <v>0</v>
      </c>
      <c r="H60" s="58">
        <v>0</v>
      </c>
      <c r="I60" s="58">
        <v>0</v>
      </c>
      <c r="J60" s="58">
        <v>0</v>
      </c>
      <c r="K60" s="58">
        <v>0</v>
      </c>
    </row>
    <row r="61" spans="1:11" outlineLevel="1" x14ac:dyDescent="0.3">
      <c r="B61" s="53" t="s">
        <v>57</v>
      </c>
      <c r="C61" s="52"/>
      <c r="D61" s="52"/>
      <c r="E61" s="52"/>
      <c r="F61" s="52"/>
      <c r="G61" s="58">
        <v>0.01</v>
      </c>
      <c r="H61" s="58">
        <v>0.01</v>
      </c>
      <c r="I61" s="58">
        <v>0.01</v>
      </c>
      <c r="J61" s="58">
        <v>0.01</v>
      </c>
      <c r="K61" s="58">
        <v>0.01</v>
      </c>
    </row>
    <row r="62" spans="1:11" outlineLevel="1" x14ac:dyDescent="0.3">
      <c r="B62" s="53" t="s">
        <v>58</v>
      </c>
      <c r="C62" s="52"/>
      <c r="D62" s="52"/>
      <c r="E62" s="52"/>
      <c r="F62" s="52"/>
      <c r="G62" s="58">
        <v>0.02</v>
      </c>
      <c r="H62" s="58">
        <v>0.02</v>
      </c>
      <c r="I62" s="58">
        <v>0.02</v>
      </c>
      <c r="J62" s="58">
        <v>0.02</v>
      </c>
      <c r="K62" s="58">
        <v>0.02</v>
      </c>
    </row>
    <row r="63" spans="1:11" outlineLevel="1" x14ac:dyDescent="0.3">
      <c r="B63" s="54" t="str">
        <f>"Current Case - "&amp;CHOOSE($G$4,B60,B61,B62)</f>
        <v>Current Case - Management Case</v>
      </c>
      <c r="C63" s="55"/>
      <c r="D63" s="55"/>
      <c r="E63" s="55"/>
      <c r="F63" s="55"/>
      <c r="G63" s="114">
        <f>CHOOSE($G$4,G60,G61,G62)</f>
        <v>0</v>
      </c>
      <c r="H63" s="114">
        <f t="shared" ref="H63:K63" si="7">CHOOSE($G$4,H60,H61,H62)</f>
        <v>0</v>
      </c>
      <c r="I63" s="114">
        <f t="shared" si="7"/>
        <v>0</v>
      </c>
      <c r="J63" s="114">
        <f t="shared" si="7"/>
        <v>0</v>
      </c>
      <c r="K63" s="114">
        <f t="shared" si="7"/>
        <v>0</v>
      </c>
    </row>
    <row r="64" spans="1:11" outlineLevel="1" x14ac:dyDescent="0.3"/>
    <row r="65" spans="2:11" outlineLevel="1" x14ac:dyDescent="0.3">
      <c r="B65" s="77" t="s">
        <v>78</v>
      </c>
      <c r="C65" s="78"/>
      <c r="D65" s="78"/>
      <c r="E65" s="78"/>
      <c r="F65" s="78"/>
      <c r="G65" s="78"/>
      <c r="H65" s="78"/>
      <c r="I65" s="78"/>
      <c r="J65" s="78"/>
      <c r="K65" s="78"/>
    </row>
    <row r="66" spans="2:11" outlineLevel="1" x14ac:dyDescent="0.3">
      <c r="B66" s="53" t="s">
        <v>56</v>
      </c>
      <c r="C66" s="52"/>
      <c r="D66" s="52"/>
      <c r="E66" s="52"/>
      <c r="F66" s="58"/>
      <c r="G66" s="58">
        <v>0</v>
      </c>
      <c r="H66" s="58">
        <v>0</v>
      </c>
      <c r="I66" s="58">
        <v>0</v>
      </c>
      <c r="J66" s="58">
        <v>0</v>
      </c>
      <c r="K66" s="58">
        <v>0</v>
      </c>
    </row>
    <row r="67" spans="2:11" outlineLevel="1" x14ac:dyDescent="0.3">
      <c r="B67" s="53" t="s">
        <v>57</v>
      </c>
      <c r="C67" s="52"/>
      <c r="D67" s="52"/>
      <c r="E67" s="52"/>
      <c r="F67" s="52"/>
      <c r="G67" s="58">
        <v>0.01</v>
      </c>
      <c r="H67" s="58">
        <v>0.01</v>
      </c>
      <c r="I67" s="58">
        <v>0.01</v>
      </c>
      <c r="J67" s="58">
        <v>0.01</v>
      </c>
      <c r="K67" s="58">
        <v>0.01</v>
      </c>
    </row>
    <row r="68" spans="2:11" outlineLevel="1" x14ac:dyDescent="0.3">
      <c r="B68" s="53" t="s">
        <v>58</v>
      </c>
      <c r="C68" s="52"/>
      <c r="D68" s="52"/>
      <c r="E68" s="52"/>
      <c r="F68" s="52"/>
      <c r="G68" s="58">
        <v>0.02</v>
      </c>
      <c r="H68" s="58">
        <v>0.02</v>
      </c>
      <c r="I68" s="58">
        <v>0.02</v>
      </c>
      <c r="J68" s="58">
        <v>0.02</v>
      </c>
      <c r="K68" s="58">
        <v>0.02</v>
      </c>
    </row>
    <row r="69" spans="2:11" outlineLevel="1" x14ac:dyDescent="0.3">
      <c r="B69" s="54" t="str">
        <f>"Current Case - "&amp;CHOOSE($G$4,B66,B67,B68)</f>
        <v>Current Case - Management Case</v>
      </c>
      <c r="C69" s="55"/>
      <c r="D69" s="55"/>
      <c r="E69" s="55"/>
      <c r="F69" s="55"/>
      <c r="G69" s="114">
        <f>CHOOSE($G$4,G66,G67,G68)</f>
        <v>0</v>
      </c>
      <c r="H69" s="114">
        <f t="shared" ref="H69:K69" si="8">CHOOSE($G$4,H66,H67,H68)</f>
        <v>0</v>
      </c>
      <c r="I69" s="114">
        <f t="shared" si="8"/>
        <v>0</v>
      </c>
      <c r="J69" s="114">
        <f t="shared" si="8"/>
        <v>0</v>
      </c>
      <c r="K69" s="114">
        <f t="shared" si="8"/>
        <v>0</v>
      </c>
    </row>
    <row r="70" spans="2:11" outlineLevel="1" x14ac:dyDescent="0.3"/>
    <row r="71" spans="2:11" outlineLevel="1" x14ac:dyDescent="0.3">
      <c r="B71" s="77" t="s">
        <v>80</v>
      </c>
      <c r="C71" s="78"/>
      <c r="D71" s="78"/>
      <c r="E71" s="78"/>
      <c r="F71" s="78"/>
      <c r="G71" s="78"/>
      <c r="H71" s="78"/>
      <c r="I71" s="78"/>
      <c r="J71" s="78"/>
      <c r="K71" s="78"/>
    </row>
    <row r="72" spans="2:11" outlineLevel="1" x14ac:dyDescent="0.3">
      <c r="B72" s="53" t="s">
        <v>56</v>
      </c>
      <c r="C72" s="52"/>
      <c r="D72" s="52"/>
      <c r="E72" s="52"/>
      <c r="F72" s="58"/>
      <c r="G72" s="58">
        <v>0</v>
      </c>
      <c r="H72" s="58">
        <v>0</v>
      </c>
      <c r="I72" s="58">
        <v>0</v>
      </c>
      <c r="J72" s="58">
        <v>0</v>
      </c>
      <c r="K72" s="58">
        <v>0</v>
      </c>
    </row>
    <row r="73" spans="2:11" outlineLevel="1" x14ac:dyDescent="0.3">
      <c r="B73" s="53" t="s">
        <v>57</v>
      </c>
      <c r="C73" s="52"/>
      <c r="D73" s="52"/>
      <c r="E73" s="52"/>
      <c r="F73" s="52"/>
      <c r="G73" s="58">
        <v>0.01</v>
      </c>
      <c r="H73" s="58">
        <v>0.01</v>
      </c>
      <c r="I73" s="58">
        <v>0.01</v>
      </c>
      <c r="J73" s="58">
        <v>0.01</v>
      </c>
      <c r="K73" s="58">
        <v>0.01</v>
      </c>
    </row>
    <row r="74" spans="2:11" outlineLevel="1" x14ac:dyDescent="0.3">
      <c r="B74" s="53" t="s">
        <v>58</v>
      </c>
      <c r="C74" s="52"/>
      <c r="D74" s="52"/>
      <c r="E74" s="52"/>
      <c r="F74" s="52"/>
      <c r="G74" s="58">
        <v>0.02</v>
      </c>
      <c r="H74" s="58">
        <v>0.02</v>
      </c>
      <c r="I74" s="58">
        <v>0.02</v>
      </c>
      <c r="J74" s="58">
        <v>0.02</v>
      </c>
      <c r="K74" s="58">
        <v>0.02</v>
      </c>
    </row>
    <row r="75" spans="2:11" outlineLevel="1" x14ac:dyDescent="0.3">
      <c r="B75" s="54" t="str">
        <f>"Current Case - "&amp;CHOOSE($G$4,B72,B73,B74)</f>
        <v>Current Case - Management Case</v>
      </c>
      <c r="C75" s="55"/>
      <c r="D75" s="55"/>
      <c r="E75" s="55"/>
      <c r="F75" s="55"/>
      <c r="G75" s="114">
        <f>CHOOSE($G$4,G72,G73,G74)</f>
        <v>0</v>
      </c>
      <c r="H75" s="114">
        <f t="shared" ref="H75:K75" si="9">CHOOSE($G$4,H72,H73,H74)</f>
        <v>0</v>
      </c>
      <c r="I75" s="114">
        <f t="shared" si="9"/>
        <v>0</v>
      </c>
      <c r="J75" s="114">
        <f t="shared" si="9"/>
        <v>0</v>
      </c>
      <c r="K75" s="114">
        <f t="shared" si="9"/>
        <v>0</v>
      </c>
    </row>
    <row r="76" spans="2:11" outlineLevel="1" x14ac:dyDescent="0.3"/>
    <row r="77" spans="2:11" outlineLevel="1" x14ac:dyDescent="0.3">
      <c r="B77" s="77" t="s">
        <v>81</v>
      </c>
      <c r="C77" s="78"/>
      <c r="D77" s="78"/>
      <c r="E77" s="78"/>
      <c r="F77" s="78"/>
      <c r="G77" s="78"/>
      <c r="H77" s="78"/>
      <c r="I77" s="78"/>
      <c r="J77" s="78"/>
      <c r="K77" s="78"/>
    </row>
    <row r="78" spans="2:11" outlineLevel="1" x14ac:dyDescent="0.3">
      <c r="B78" s="53" t="s">
        <v>56</v>
      </c>
      <c r="C78" s="52"/>
      <c r="D78" s="52"/>
      <c r="E78" s="52"/>
      <c r="F78" s="58"/>
      <c r="G78" s="58">
        <v>0</v>
      </c>
      <c r="H78" s="58">
        <v>0</v>
      </c>
      <c r="I78" s="58">
        <v>0</v>
      </c>
      <c r="J78" s="58">
        <v>0</v>
      </c>
      <c r="K78" s="58">
        <v>0</v>
      </c>
    </row>
    <row r="79" spans="2:11" outlineLevel="1" x14ac:dyDescent="0.3">
      <c r="B79" s="53" t="s">
        <v>57</v>
      </c>
      <c r="C79" s="52"/>
      <c r="D79" s="52"/>
      <c r="E79" s="52"/>
      <c r="F79" s="52"/>
      <c r="G79" s="58">
        <v>0.01</v>
      </c>
      <c r="H79" s="58">
        <v>0.01</v>
      </c>
      <c r="I79" s="58">
        <v>0.01</v>
      </c>
      <c r="J79" s="58">
        <v>0.01</v>
      </c>
      <c r="K79" s="58">
        <v>0.01</v>
      </c>
    </row>
    <row r="80" spans="2:11" outlineLevel="1" x14ac:dyDescent="0.3">
      <c r="B80" s="53" t="s">
        <v>58</v>
      </c>
      <c r="C80" s="52"/>
      <c r="D80" s="52"/>
      <c r="E80" s="52"/>
      <c r="F80" s="52"/>
      <c r="G80" s="58">
        <v>0.02</v>
      </c>
      <c r="H80" s="58">
        <v>0.02</v>
      </c>
      <c r="I80" s="58">
        <v>0.02</v>
      </c>
      <c r="J80" s="58">
        <v>0.02</v>
      </c>
      <c r="K80" s="58">
        <v>0.02</v>
      </c>
    </row>
    <row r="81" spans="2:11" outlineLevel="1" x14ac:dyDescent="0.3">
      <c r="B81" s="54" t="str">
        <f>"Current Case - "&amp;CHOOSE($G$4,B78,B79,B80)</f>
        <v>Current Case - Management Case</v>
      </c>
      <c r="C81" s="55"/>
      <c r="D81" s="55"/>
      <c r="E81" s="55"/>
      <c r="F81" s="55"/>
      <c r="G81" s="114">
        <f>CHOOSE($G$4,G78,G79,G80)</f>
        <v>0</v>
      </c>
      <c r="H81" s="114">
        <f t="shared" ref="H81:K81" si="10">CHOOSE($G$4,H78,H79,H80)</f>
        <v>0</v>
      </c>
      <c r="I81" s="114">
        <f t="shared" si="10"/>
        <v>0</v>
      </c>
      <c r="J81" s="114">
        <f t="shared" si="10"/>
        <v>0</v>
      </c>
      <c r="K81" s="114">
        <f t="shared" si="10"/>
        <v>0</v>
      </c>
    </row>
    <row r="82" spans="2:11" outlineLevel="1" x14ac:dyDescent="0.3"/>
    <row r="83" spans="2:11" outlineLevel="1" x14ac:dyDescent="0.3"/>
    <row r="84" spans="2:11" ht="18" outlineLevel="1" x14ac:dyDescent="0.35">
      <c r="B84" s="62" t="s">
        <v>61</v>
      </c>
      <c r="C84" s="50"/>
      <c r="D84" s="50"/>
      <c r="E84" s="50"/>
      <c r="F84" s="50"/>
      <c r="G84" s="50"/>
      <c r="H84" s="50"/>
      <c r="I84" s="50"/>
      <c r="J84" s="50"/>
      <c r="K84" s="50"/>
    </row>
    <row r="85" spans="2:11" outlineLevel="1" x14ac:dyDescent="0.3"/>
    <row r="86" spans="2:11" outlineLevel="1" x14ac:dyDescent="0.3">
      <c r="B86" s="79" t="s">
        <v>79</v>
      </c>
      <c r="C86" s="52"/>
      <c r="D86" s="52"/>
      <c r="E86" s="52"/>
      <c r="F86" s="52"/>
      <c r="G86" s="52"/>
      <c r="H86" s="52"/>
      <c r="I86" s="52"/>
      <c r="J86" s="52"/>
      <c r="K86" s="52"/>
    </row>
    <row r="87" spans="2:11" outlineLevel="1" x14ac:dyDescent="0.3">
      <c r="B87" s="53" t="s">
        <v>56</v>
      </c>
      <c r="C87" s="52"/>
      <c r="D87" s="52"/>
      <c r="E87" s="52"/>
      <c r="F87" s="58"/>
      <c r="G87" s="58">
        <v>0</v>
      </c>
      <c r="H87" s="58">
        <v>0</v>
      </c>
      <c r="I87" s="58">
        <v>0</v>
      </c>
      <c r="J87" s="58">
        <v>0</v>
      </c>
      <c r="K87" s="58">
        <v>0</v>
      </c>
    </row>
    <row r="88" spans="2:11" outlineLevel="1" x14ac:dyDescent="0.3">
      <c r="B88" s="53" t="s">
        <v>57</v>
      </c>
      <c r="C88" s="52"/>
      <c r="D88" s="52"/>
      <c r="E88" s="52"/>
      <c r="F88" s="52"/>
      <c r="G88" s="58">
        <v>0.01</v>
      </c>
      <c r="H88" s="58">
        <v>0.01</v>
      </c>
      <c r="I88" s="58">
        <v>0.01</v>
      </c>
      <c r="J88" s="58">
        <v>0.01</v>
      </c>
      <c r="K88" s="58">
        <v>0.01</v>
      </c>
    </row>
    <row r="89" spans="2:11" outlineLevel="1" x14ac:dyDescent="0.3">
      <c r="B89" s="53" t="s">
        <v>58</v>
      </c>
      <c r="C89" s="52"/>
      <c r="D89" s="52"/>
      <c r="E89" s="52"/>
      <c r="F89" s="52"/>
      <c r="G89" s="58">
        <v>0.02</v>
      </c>
      <c r="H89" s="58">
        <v>0.02</v>
      </c>
      <c r="I89" s="58">
        <v>0.02</v>
      </c>
      <c r="J89" s="58">
        <v>0.02</v>
      </c>
      <c r="K89" s="58">
        <v>0.02</v>
      </c>
    </row>
    <row r="90" spans="2:11" outlineLevel="1" x14ac:dyDescent="0.3">
      <c r="B90" s="54" t="str">
        <f>"Current Case - "&amp;CHOOSE($G$4,B87,B88,B89)</f>
        <v>Current Case - Management Case</v>
      </c>
      <c r="C90" s="55"/>
      <c r="D90" s="55"/>
      <c r="E90" s="55"/>
      <c r="F90" s="55"/>
      <c r="G90" s="114">
        <f>CHOOSE($G$4,G87,G88,G89)</f>
        <v>0</v>
      </c>
      <c r="H90" s="114">
        <f t="shared" ref="H90:K90" si="11">CHOOSE($G$4,H87,H88,H89)</f>
        <v>0</v>
      </c>
      <c r="I90" s="114">
        <f t="shared" si="11"/>
        <v>0</v>
      </c>
      <c r="J90" s="114">
        <f t="shared" si="11"/>
        <v>0</v>
      </c>
      <c r="K90" s="114">
        <f t="shared" si="11"/>
        <v>0</v>
      </c>
    </row>
    <row r="91" spans="2:11" outlineLevel="1" x14ac:dyDescent="0.3"/>
    <row r="92" spans="2:11" outlineLevel="1" x14ac:dyDescent="0.3">
      <c r="B92" s="77" t="s">
        <v>78</v>
      </c>
      <c r="C92" s="78"/>
      <c r="D92" s="78"/>
      <c r="E92" s="78"/>
      <c r="F92" s="78"/>
      <c r="G92" s="78"/>
      <c r="H92" s="78"/>
      <c r="I92" s="78"/>
      <c r="J92" s="78"/>
      <c r="K92" s="78"/>
    </row>
    <row r="93" spans="2:11" outlineLevel="1" x14ac:dyDescent="0.3">
      <c r="B93" s="53" t="s">
        <v>56</v>
      </c>
      <c r="C93" s="52"/>
      <c r="D93" s="52"/>
      <c r="E93" s="52"/>
      <c r="F93" s="58"/>
      <c r="G93" s="58">
        <v>0</v>
      </c>
      <c r="H93" s="58">
        <v>0</v>
      </c>
      <c r="I93" s="58">
        <v>0</v>
      </c>
      <c r="J93" s="58">
        <v>0</v>
      </c>
      <c r="K93" s="58">
        <v>0</v>
      </c>
    </row>
    <row r="94" spans="2:11" outlineLevel="1" x14ac:dyDescent="0.3">
      <c r="B94" s="53" t="s">
        <v>57</v>
      </c>
      <c r="C94" s="52"/>
      <c r="D94" s="52"/>
      <c r="E94" s="52"/>
      <c r="F94" s="52"/>
      <c r="G94" s="58">
        <v>0.01</v>
      </c>
      <c r="H94" s="58">
        <v>0.01</v>
      </c>
      <c r="I94" s="58">
        <v>0.01</v>
      </c>
      <c r="J94" s="58">
        <v>0.01</v>
      </c>
      <c r="K94" s="58">
        <v>0.01</v>
      </c>
    </row>
    <row r="95" spans="2:11" outlineLevel="1" x14ac:dyDescent="0.3">
      <c r="B95" s="53" t="s">
        <v>58</v>
      </c>
      <c r="C95" s="52"/>
      <c r="D95" s="52"/>
      <c r="E95" s="52"/>
      <c r="F95" s="52"/>
      <c r="G95" s="58">
        <v>0.02</v>
      </c>
      <c r="H95" s="58">
        <v>0.02</v>
      </c>
      <c r="I95" s="58">
        <v>0.02</v>
      </c>
      <c r="J95" s="58">
        <v>0.02</v>
      </c>
      <c r="K95" s="58">
        <v>0.02</v>
      </c>
    </row>
    <row r="96" spans="2:11" outlineLevel="1" x14ac:dyDescent="0.3">
      <c r="B96" s="54" t="str">
        <f>"Current Case - "&amp;CHOOSE($G$4,B93,B94,B95)</f>
        <v>Current Case - Management Case</v>
      </c>
      <c r="C96" s="55"/>
      <c r="D96" s="55"/>
      <c r="E96" s="55"/>
      <c r="F96" s="55"/>
      <c r="G96" s="114">
        <f>CHOOSE($G$4,G93,G94,G95)</f>
        <v>0</v>
      </c>
      <c r="H96" s="114">
        <f t="shared" ref="H96:K96" si="12">CHOOSE($G$4,H93,H94,H95)</f>
        <v>0</v>
      </c>
      <c r="I96" s="114">
        <f t="shared" si="12"/>
        <v>0</v>
      </c>
      <c r="J96" s="114">
        <f t="shared" si="12"/>
        <v>0</v>
      </c>
      <c r="K96" s="114">
        <f t="shared" si="12"/>
        <v>0</v>
      </c>
    </row>
    <row r="97" spans="2:11" outlineLevel="1" x14ac:dyDescent="0.3"/>
    <row r="98" spans="2:11" outlineLevel="1" x14ac:dyDescent="0.3">
      <c r="B98" s="77" t="s">
        <v>80</v>
      </c>
      <c r="C98" s="78"/>
      <c r="D98" s="78"/>
      <c r="E98" s="78"/>
      <c r="F98" s="78"/>
      <c r="G98" s="78"/>
      <c r="H98" s="78"/>
      <c r="I98" s="78"/>
      <c r="J98" s="78"/>
      <c r="K98" s="78"/>
    </row>
    <row r="99" spans="2:11" outlineLevel="1" x14ac:dyDescent="0.3">
      <c r="B99" s="53" t="s">
        <v>56</v>
      </c>
      <c r="C99" s="52"/>
      <c r="D99" s="52"/>
      <c r="E99" s="52"/>
      <c r="F99" s="58"/>
      <c r="G99" s="58">
        <v>0</v>
      </c>
      <c r="H99" s="58">
        <v>0</v>
      </c>
      <c r="I99" s="58">
        <v>0</v>
      </c>
      <c r="J99" s="58">
        <v>0</v>
      </c>
      <c r="K99" s="58">
        <v>0</v>
      </c>
    </row>
    <row r="100" spans="2:11" outlineLevel="1" x14ac:dyDescent="0.3">
      <c r="B100" s="53" t="s">
        <v>57</v>
      </c>
      <c r="C100" s="52"/>
      <c r="D100" s="52"/>
      <c r="E100" s="52"/>
      <c r="F100" s="52"/>
      <c r="G100" s="58">
        <v>0.01</v>
      </c>
      <c r="H100" s="58">
        <v>0.01</v>
      </c>
      <c r="I100" s="58">
        <v>0.01</v>
      </c>
      <c r="J100" s="58">
        <v>0.01</v>
      </c>
      <c r="K100" s="58">
        <v>0.01</v>
      </c>
    </row>
    <row r="101" spans="2:11" outlineLevel="1" x14ac:dyDescent="0.3">
      <c r="B101" s="53" t="s">
        <v>58</v>
      </c>
      <c r="C101" s="52"/>
      <c r="D101" s="52"/>
      <c r="E101" s="52"/>
      <c r="F101" s="52"/>
      <c r="G101" s="58">
        <v>0.02</v>
      </c>
      <c r="H101" s="58">
        <v>0.02</v>
      </c>
      <c r="I101" s="58">
        <v>0.02</v>
      </c>
      <c r="J101" s="58">
        <v>0.02</v>
      </c>
      <c r="K101" s="58">
        <v>0.02</v>
      </c>
    </row>
    <row r="102" spans="2:11" outlineLevel="1" x14ac:dyDescent="0.3">
      <c r="B102" s="54" t="str">
        <f>"Current Case - "&amp;CHOOSE($G$4,B99,B100,B101)</f>
        <v>Current Case - Management Case</v>
      </c>
      <c r="C102" s="55"/>
      <c r="D102" s="55"/>
      <c r="E102" s="55"/>
      <c r="F102" s="55"/>
      <c r="G102" s="114">
        <f>CHOOSE($G$4,G99,G100,G101)</f>
        <v>0</v>
      </c>
      <c r="H102" s="114">
        <f t="shared" ref="H102:K102" si="13">CHOOSE($G$4,H99,H100,H101)</f>
        <v>0</v>
      </c>
      <c r="I102" s="114">
        <f t="shared" si="13"/>
        <v>0</v>
      </c>
      <c r="J102" s="114">
        <f t="shared" si="13"/>
        <v>0</v>
      </c>
      <c r="K102" s="114">
        <f t="shared" si="13"/>
        <v>0</v>
      </c>
    </row>
    <row r="103" spans="2:11" outlineLevel="1" x14ac:dyDescent="0.3"/>
    <row r="104" spans="2:11" outlineLevel="1" x14ac:dyDescent="0.3">
      <c r="B104" s="77" t="s">
        <v>81</v>
      </c>
      <c r="C104" s="78"/>
      <c r="D104" s="78"/>
      <c r="E104" s="78"/>
      <c r="F104" s="78"/>
      <c r="G104" s="78"/>
      <c r="H104" s="78"/>
      <c r="I104" s="78"/>
      <c r="J104" s="78"/>
      <c r="K104" s="78"/>
    </row>
    <row r="105" spans="2:11" outlineLevel="1" x14ac:dyDescent="0.3">
      <c r="B105" s="53" t="s">
        <v>56</v>
      </c>
      <c r="C105" s="52"/>
      <c r="D105" s="52"/>
      <c r="E105" s="52"/>
      <c r="F105" s="58"/>
      <c r="G105" s="58">
        <v>0</v>
      </c>
      <c r="H105" s="58">
        <v>0</v>
      </c>
      <c r="I105" s="58">
        <v>0</v>
      </c>
      <c r="J105" s="58">
        <v>0</v>
      </c>
      <c r="K105" s="58">
        <v>0</v>
      </c>
    </row>
    <row r="106" spans="2:11" outlineLevel="1" x14ac:dyDescent="0.3">
      <c r="B106" s="53" t="s">
        <v>57</v>
      </c>
      <c r="C106" s="52"/>
      <c r="D106" s="52"/>
      <c r="E106" s="52"/>
      <c r="F106" s="52"/>
      <c r="G106" s="58">
        <v>0.01</v>
      </c>
      <c r="H106" s="58">
        <v>0.01</v>
      </c>
      <c r="I106" s="58">
        <v>0.01</v>
      </c>
      <c r="J106" s="58">
        <v>0.01</v>
      </c>
      <c r="K106" s="58">
        <v>0.01</v>
      </c>
    </row>
    <row r="107" spans="2:11" outlineLevel="1" x14ac:dyDescent="0.3">
      <c r="B107" s="53" t="s">
        <v>58</v>
      </c>
      <c r="C107" s="52"/>
      <c r="D107" s="52"/>
      <c r="E107" s="52"/>
      <c r="F107" s="52"/>
      <c r="G107" s="58">
        <v>0.02</v>
      </c>
      <c r="H107" s="58">
        <v>0.02</v>
      </c>
      <c r="I107" s="58">
        <v>0.02</v>
      </c>
      <c r="J107" s="58">
        <v>0.02</v>
      </c>
      <c r="K107" s="58">
        <v>0.02</v>
      </c>
    </row>
    <row r="108" spans="2:11" outlineLevel="1" x14ac:dyDescent="0.3">
      <c r="B108" s="54" t="str">
        <f>"Current Case - "&amp;CHOOSE($G$4,B105,B106,B107)</f>
        <v>Current Case - Management Case</v>
      </c>
      <c r="C108" s="55"/>
      <c r="D108" s="55"/>
      <c r="E108" s="55"/>
      <c r="F108" s="55"/>
      <c r="G108" s="114">
        <f>CHOOSE($G$4,G105,G106,G107)</f>
        <v>0</v>
      </c>
      <c r="H108" s="114">
        <f t="shared" ref="H108:K108" si="14">CHOOSE($G$4,H105,H106,H107)</f>
        <v>0</v>
      </c>
      <c r="I108" s="114">
        <f t="shared" si="14"/>
        <v>0</v>
      </c>
      <c r="J108" s="114">
        <f t="shared" si="14"/>
        <v>0</v>
      </c>
      <c r="K108" s="114">
        <f t="shared" si="14"/>
        <v>0</v>
      </c>
    </row>
    <row r="109" spans="2:11" outlineLevel="1" x14ac:dyDescent="0.3"/>
    <row r="110" spans="2:11" ht="18" outlineLevel="1" x14ac:dyDescent="0.35">
      <c r="B110" s="62" t="s">
        <v>62</v>
      </c>
      <c r="C110" s="50"/>
      <c r="D110" s="50"/>
      <c r="E110" s="50"/>
      <c r="F110" s="50"/>
      <c r="G110" s="50"/>
      <c r="H110" s="50"/>
      <c r="I110" s="50"/>
      <c r="J110" s="50"/>
      <c r="K110" s="50"/>
    </row>
    <row r="111" spans="2:11" outlineLevel="1" x14ac:dyDescent="0.3"/>
    <row r="112" spans="2:11" outlineLevel="1" x14ac:dyDescent="0.3">
      <c r="B112" s="79" t="s">
        <v>79</v>
      </c>
      <c r="C112" s="52"/>
      <c r="D112" s="52"/>
      <c r="E112" s="52"/>
      <c r="F112" s="52"/>
      <c r="G112" s="52"/>
      <c r="H112" s="52"/>
      <c r="I112" s="52"/>
      <c r="J112" s="52"/>
      <c r="K112" s="52"/>
    </row>
    <row r="113" spans="2:11" outlineLevel="1" x14ac:dyDescent="0.3">
      <c r="B113" s="53" t="s">
        <v>56</v>
      </c>
      <c r="C113" s="52"/>
      <c r="D113" s="52"/>
      <c r="E113" s="52"/>
      <c r="F113" s="58"/>
      <c r="G113" s="58">
        <v>0</v>
      </c>
      <c r="H113" s="58">
        <v>0</v>
      </c>
      <c r="I113" s="58">
        <v>0</v>
      </c>
      <c r="J113" s="58">
        <v>0</v>
      </c>
      <c r="K113" s="58">
        <v>0</v>
      </c>
    </row>
    <row r="114" spans="2:11" outlineLevel="1" x14ac:dyDescent="0.3">
      <c r="B114" s="53" t="s">
        <v>57</v>
      </c>
      <c r="C114" s="52"/>
      <c r="D114" s="52"/>
      <c r="E114" s="52"/>
      <c r="F114" s="52"/>
      <c r="G114" s="58">
        <v>0.01</v>
      </c>
      <c r="H114" s="58">
        <v>0.01</v>
      </c>
      <c r="I114" s="58">
        <v>0.01</v>
      </c>
      <c r="J114" s="58">
        <v>0.01</v>
      </c>
      <c r="K114" s="58">
        <v>0.01</v>
      </c>
    </row>
    <row r="115" spans="2:11" outlineLevel="1" x14ac:dyDescent="0.3">
      <c r="B115" s="53" t="s">
        <v>58</v>
      </c>
      <c r="C115" s="52"/>
      <c r="D115" s="52"/>
      <c r="E115" s="52"/>
      <c r="F115" s="52"/>
      <c r="G115" s="58">
        <v>0.02</v>
      </c>
      <c r="H115" s="58">
        <v>0.02</v>
      </c>
      <c r="I115" s="58">
        <v>0.02</v>
      </c>
      <c r="J115" s="58">
        <v>0.02</v>
      </c>
      <c r="K115" s="58">
        <v>0.02</v>
      </c>
    </row>
    <row r="116" spans="2:11" outlineLevel="1" x14ac:dyDescent="0.3">
      <c r="B116" s="54" t="str">
        <f>"Current Case - "&amp;CHOOSE($G$4,B113,B114,B115)</f>
        <v>Current Case - Management Case</v>
      </c>
      <c r="C116" s="55"/>
      <c r="D116" s="55"/>
      <c r="E116" s="55"/>
      <c r="F116" s="55"/>
      <c r="G116" s="114">
        <f>CHOOSE($G$4,G113,G114,G115)</f>
        <v>0</v>
      </c>
      <c r="H116" s="114">
        <f t="shared" ref="H116:K116" si="15">CHOOSE($G$4,H113,H114,H115)</f>
        <v>0</v>
      </c>
      <c r="I116" s="114">
        <f t="shared" si="15"/>
        <v>0</v>
      </c>
      <c r="J116" s="114">
        <f t="shared" si="15"/>
        <v>0</v>
      </c>
      <c r="K116" s="114">
        <f t="shared" si="15"/>
        <v>0</v>
      </c>
    </row>
    <row r="117" spans="2:11" outlineLevel="1" x14ac:dyDescent="0.3"/>
    <row r="118" spans="2:11" outlineLevel="1" x14ac:dyDescent="0.3">
      <c r="B118" s="77" t="s">
        <v>78</v>
      </c>
      <c r="C118" s="78"/>
      <c r="D118" s="78"/>
      <c r="E118" s="78"/>
      <c r="F118" s="78"/>
      <c r="G118" s="78"/>
      <c r="H118" s="78"/>
      <c r="I118" s="78"/>
      <c r="J118" s="78"/>
      <c r="K118" s="78"/>
    </row>
    <row r="119" spans="2:11" outlineLevel="1" x14ac:dyDescent="0.3">
      <c r="B119" s="53" t="s">
        <v>56</v>
      </c>
      <c r="C119" s="52"/>
      <c r="D119" s="52"/>
      <c r="E119" s="52"/>
      <c r="F119" s="58"/>
      <c r="G119" s="58">
        <v>0</v>
      </c>
      <c r="H119" s="58">
        <v>0</v>
      </c>
      <c r="I119" s="58">
        <v>0</v>
      </c>
      <c r="J119" s="58">
        <v>0</v>
      </c>
      <c r="K119" s="58">
        <v>0</v>
      </c>
    </row>
    <row r="120" spans="2:11" outlineLevel="1" x14ac:dyDescent="0.3">
      <c r="B120" s="53" t="s">
        <v>57</v>
      </c>
      <c r="C120" s="52"/>
      <c r="D120" s="52"/>
      <c r="E120" s="52"/>
      <c r="F120" s="52"/>
      <c r="G120" s="58">
        <v>0.01</v>
      </c>
      <c r="H120" s="58">
        <v>0.01</v>
      </c>
      <c r="I120" s="58">
        <v>0.01</v>
      </c>
      <c r="J120" s="58">
        <v>0.01</v>
      </c>
      <c r="K120" s="58">
        <v>0.01</v>
      </c>
    </row>
    <row r="121" spans="2:11" outlineLevel="1" x14ac:dyDescent="0.3">
      <c r="B121" s="53" t="s">
        <v>58</v>
      </c>
      <c r="C121" s="52"/>
      <c r="D121" s="52"/>
      <c r="E121" s="52"/>
      <c r="F121" s="52"/>
      <c r="G121" s="58">
        <v>0.02</v>
      </c>
      <c r="H121" s="58">
        <v>0.02</v>
      </c>
      <c r="I121" s="58">
        <v>0.02</v>
      </c>
      <c r="J121" s="58">
        <v>0.02</v>
      </c>
      <c r="K121" s="58">
        <v>0.02</v>
      </c>
    </row>
    <row r="122" spans="2:11" outlineLevel="1" x14ac:dyDescent="0.3">
      <c r="B122" s="54" t="str">
        <f>"Current Case - "&amp;CHOOSE($G$4,B119,B120,B121)</f>
        <v>Current Case - Management Case</v>
      </c>
      <c r="C122" s="55"/>
      <c r="D122" s="55"/>
      <c r="E122" s="55"/>
      <c r="F122" s="55"/>
      <c r="G122" s="114">
        <f>CHOOSE($G$4,G119,G120,G121)</f>
        <v>0</v>
      </c>
      <c r="H122" s="114">
        <f t="shared" ref="H122:K122" si="16">CHOOSE($G$4,H119,H120,H121)</f>
        <v>0</v>
      </c>
      <c r="I122" s="114">
        <f t="shared" si="16"/>
        <v>0</v>
      </c>
      <c r="J122" s="114">
        <f t="shared" si="16"/>
        <v>0</v>
      </c>
      <c r="K122" s="114">
        <f t="shared" si="16"/>
        <v>0</v>
      </c>
    </row>
    <row r="123" spans="2:11" outlineLevel="1" x14ac:dyDescent="0.3"/>
    <row r="124" spans="2:11" outlineLevel="1" x14ac:dyDescent="0.3">
      <c r="B124" s="77" t="s">
        <v>80</v>
      </c>
      <c r="C124" s="78"/>
      <c r="D124" s="78"/>
      <c r="E124" s="78"/>
      <c r="F124" s="78"/>
      <c r="G124" s="78"/>
      <c r="H124" s="78"/>
      <c r="I124" s="78"/>
      <c r="J124" s="78"/>
      <c r="K124" s="78"/>
    </row>
    <row r="125" spans="2:11" outlineLevel="1" x14ac:dyDescent="0.3">
      <c r="B125" s="53" t="s">
        <v>56</v>
      </c>
      <c r="C125" s="52"/>
      <c r="D125" s="52"/>
      <c r="E125" s="52"/>
      <c r="F125" s="58"/>
      <c r="G125" s="58">
        <v>0</v>
      </c>
      <c r="H125" s="58">
        <v>0</v>
      </c>
      <c r="I125" s="58">
        <v>0</v>
      </c>
      <c r="J125" s="58">
        <v>0</v>
      </c>
      <c r="K125" s="58">
        <v>0</v>
      </c>
    </row>
    <row r="126" spans="2:11" outlineLevel="1" x14ac:dyDescent="0.3">
      <c r="B126" s="53" t="s">
        <v>57</v>
      </c>
      <c r="C126" s="52"/>
      <c r="D126" s="52"/>
      <c r="E126" s="52"/>
      <c r="F126" s="52"/>
      <c r="G126" s="58">
        <v>0.01</v>
      </c>
      <c r="H126" s="58">
        <v>0.01</v>
      </c>
      <c r="I126" s="58">
        <v>0.01</v>
      </c>
      <c r="J126" s="58">
        <v>0.01</v>
      </c>
      <c r="K126" s="58">
        <v>0.01</v>
      </c>
    </row>
    <row r="127" spans="2:11" outlineLevel="1" x14ac:dyDescent="0.3">
      <c r="B127" s="53" t="s">
        <v>58</v>
      </c>
      <c r="C127" s="52"/>
      <c r="D127" s="52"/>
      <c r="E127" s="52"/>
      <c r="F127" s="52"/>
      <c r="G127" s="58">
        <v>0.02</v>
      </c>
      <c r="H127" s="58">
        <v>0.02</v>
      </c>
      <c r="I127" s="58">
        <v>0.02</v>
      </c>
      <c r="J127" s="58">
        <v>0.02</v>
      </c>
      <c r="K127" s="58">
        <v>0.02</v>
      </c>
    </row>
    <row r="128" spans="2:11" outlineLevel="1" x14ac:dyDescent="0.3">
      <c r="B128" s="54" t="str">
        <f>"Current Case - "&amp;CHOOSE($G$4,B125,B126,B127)</f>
        <v>Current Case - Management Case</v>
      </c>
      <c r="C128" s="55"/>
      <c r="D128" s="55"/>
      <c r="E128" s="55"/>
      <c r="F128" s="55"/>
      <c r="G128" s="114">
        <f>CHOOSE($G$4,G125,G126,G127)</f>
        <v>0</v>
      </c>
      <c r="H128" s="114">
        <f t="shared" ref="H128:K128" si="17">CHOOSE($G$4,H125,H126,H127)</f>
        <v>0</v>
      </c>
      <c r="I128" s="114">
        <f t="shared" si="17"/>
        <v>0</v>
      </c>
      <c r="J128" s="114">
        <f t="shared" si="17"/>
        <v>0</v>
      </c>
      <c r="K128" s="114">
        <f t="shared" si="17"/>
        <v>0</v>
      </c>
    </row>
    <row r="129" spans="1:11" outlineLevel="1" x14ac:dyDescent="0.3"/>
    <row r="130" spans="1:11" outlineLevel="1" x14ac:dyDescent="0.3">
      <c r="B130" s="77" t="s">
        <v>81</v>
      </c>
      <c r="C130" s="78"/>
      <c r="D130" s="78"/>
      <c r="E130" s="78"/>
      <c r="F130" s="78"/>
      <c r="G130" s="78"/>
      <c r="H130" s="78"/>
      <c r="I130" s="78"/>
      <c r="J130" s="78"/>
      <c r="K130" s="78"/>
    </row>
    <row r="131" spans="1:11" outlineLevel="1" x14ac:dyDescent="0.3">
      <c r="B131" s="53" t="s">
        <v>56</v>
      </c>
      <c r="C131" s="52"/>
      <c r="D131" s="52"/>
      <c r="E131" s="52"/>
      <c r="F131" s="58"/>
      <c r="G131" s="58">
        <v>0</v>
      </c>
      <c r="H131" s="58">
        <v>0</v>
      </c>
      <c r="I131" s="58">
        <v>0</v>
      </c>
      <c r="J131" s="58">
        <v>0</v>
      </c>
      <c r="K131" s="58">
        <v>0</v>
      </c>
    </row>
    <row r="132" spans="1:11" outlineLevel="1" x14ac:dyDescent="0.3">
      <c r="B132" s="53" t="s">
        <v>57</v>
      </c>
      <c r="C132" s="52"/>
      <c r="D132" s="52"/>
      <c r="E132" s="52"/>
      <c r="F132" s="52"/>
      <c r="G132" s="58">
        <v>0.01</v>
      </c>
      <c r="H132" s="58">
        <v>0.01</v>
      </c>
      <c r="I132" s="58">
        <v>0.01</v>
      </c>
      <c r="J132" s="58">
        <v>0.01</v>
      </c>
      <c r="K132" s="58">
        <v>0.01</v>
      </c>
    </row>
    <row r="133" spans="1:11" outlineLevel="1" x14ac:dyDescent="0.3">
      <c r="B133" s="53" t="s">
        <v>58</v>
      </c>
      <c r="C133" s="52"/>
      <c r="D133" s="52"/>
      <c r="E133" s="52"/>
      <c r="F133" s="52"/>
      <c r="G133" s="58">
        <v>0.02</v>
      </c>
      <c r="H133" s="58">
        <v>0.02</v>
      </c>
      <c r="I133" s="58">
        <v>0.02</v>
      </c>
      <c r="J133" s="58">
        <v>0.02</v>
      </c>
      <c r="K133" s="58">
        <v>0.02</v>
      </c>
    </row>
    <row r="134" spans="1:11" outlineLevel="1" x14ac:dyDescent="0.3">
      <c r="B134" s="54" t="str">
        <f>"Current Case - "&amp;CHOOSE($G$4,B131,B132,B133)</f>
        <v>Current Case - Management Case</v>
      </c>
      <c r="C134" s="55"/>
      <c r="D134" s="55"/>
      <c r="E134" s="55"/>
      <c r="F134" s="55"/>
      <c r="G134" s="114">
        <f>CHOOSE($G$4,G131,G132,G133)</f>
        <v>0</v>
      </c>
      <c r="H134" s="114">
        <f t="shared" ref="H134:K134" si="18">CHOOSE($G$4,H131,H132,H133)</f>
        <v>0</v>
      </c>
      <c r="I134" s="114">
        <f t="shared" si="18"/>
        <v>0</v>
      </c>
      <c r="J134" s="114">
        <f t="shared" si="18"/>
        <v>0</v>
      </c>
      <c r="K134" s="114">
        <f t="shared" si="18"/>
        <v>0</v>
      </c>
    </row>
    <row r="135" spans="1:11" outlineLevel="1" x14ac:dyDescent="0.3"/>
    <row r="136" spans="1:11" outlineLevel="1" x14ac:dyDescent="0.3">
      <c r="B136" s="77" t="s">
        <v>109</v>
      </c>
      <c r="C136" s="78"/>
      <c r="D136" s="78"/>
      <c r="E136" s="78"/>
      <c r="F136" s="78"/>
      <c r="G136" s="78"/>
      <c r="H136" s="78"/>
      <c r="I136" s="78"/>
      <c r="J136" s="78"/>
      <c r="K136" s="78"/>
    </row>
    <row r="137" spans="1:11" outlineLevel="1" x14ac:dyDescent="0.3">
      <c r="B137" s="53" t="s">
        <v>56</v>
      </c>
      <c r="C137" s="52"/>
      <c r="D137" s="52"/>
      <c r="E137" s="52"/>
      <c r="F137" s="58"/>
      <c r="G137" s="58">
        <v>0.15</v>
      </c>
      <c r="H137" s="58">
        <v>0.15</v>
      </c>
      <c r="I137" s="58">
        <v>0.15</v>
      </c>
      <c r="J137" s="58">
        <v>0.15</v>
      </c>
      <c r="K137" s="58">
        <v>0.15</v>
      </c>
    </row>
    <row r="138" spans="1:11" outlineLevel="1" x14ac:dyDescent="0.3">
      <c r="B138" s="53" t="s">
        <v>57</v>
      </c>
      <c r="C138" s="52"/>
      <c r="D138" s="52"/>
      <c r="E138" s="52"/>
      <c r="F138" s="52"/>
      <c r="G138" s="58">
        <v>0.14000000000000001</v>
      </c>
      <c r="H138" s="58">
        <v>0.14000000000000001</v>
      </c>
      <c r="I138" s="58">
        <v>0.14000000000000001</v>
      </c>
      <c r="J138" s="58">
        <v>0.14000000000000001</v>
      </c>
      <c r="K138" s="58">
        <v>0.14000000000000001</v>
      </c>
    </row>
    <row r="139" spans="1:11" outlineLevel="1" x14ac:dyDescent="0.3">
      <c r="B139" s="53" t="s">
        <v>58</v>
      </c>
      <c r="C139" s="52"/>
      <c r="D139" s="52"/>
      <c r="E139" s="52"/>
      <c r="F139" s="52"/>
      <c r="G139" s="58">
        <v>0.16</v>
      </c>
      <c r="H139" s="58">
        <v>0.16</v>
      </c>
      <c r="I139" s="58">
        <v>0.16</v>
      </c>
      <c r="J139" s="58">
        <v>0.16</v>
      </c>
      <c r="K139" s="58">
        <v>0.16</v>
      </c>
    </row>
    <row r="140" spans="1:11" outlineLevel="1" x14ac:dyDescent="0.3">
      <c r="B140" s="54" t="str">
        <f>"Current Case - "&amp;CHOOSE($G$4,B137,B138,B139)</f>
        <v>Current Case - Management Case</v>
      </c>
      <c r="C140" s="55"/>
      <c r="D140" s="55"/>
      <c r="E140" s="55"/>
      <c r="F140" s="55"/>
      <c r="G140" s="114">
        <f>CHOOSE($G$4,G137,G138,G139)</f>
        <v>0.15</v>
      </c>
      <c r="H140" s="114">
        <f t="shared" ref="H140:K140" si="19">CHOOSE($G$4,H137,H138,H139)</f>
        <v>0.15</v>
      </c>
      <c r="I140" s="114">
        <f t="shared" si="19"/>
        <v>0.15</v>
      </c>
      <c r="J140" s="114">
        <f t="shared" si="19"/>
        <v>0.15</v>
      </c>
      <c r="K140" s="114">
        <f t="shared" si="19"/>
        <v>0.15</v>
      </c>
    </row>
    <row r="142" spans="1:11" ht="18" x14ac:dyDescent="0.35">
      <c r="A142" t="s">
        <v>52</v>
      </c>
      <c r="B142" s="76" t="s">
        <v>110</v>
      </c>
      <c r="C142" s="48"/>
      <c r="D142" s="48"/>
      <c r="E142" s="48"/>
      <c r="F142" s="48"/>
      <c r="G142" s="48"/>
      <c r="H142" s="48"/>
      <c r="I142" s="48"/>
      <c r="J142" s="48"/>
      <c r="K142" s="48"/>
    </row>
    <row r="143" spans="1:11" outlineLevel="1" x14ac:dyDescent="0.3"/>
    <row r="144" spans="1:11" ht="15.6" outlineLevel="1" x14ac:dyDescent="0.3">
      <c r="B144" s="93" t="s">
        <v>112</v>
      </c>
      <c r="C144" s="50"/>
      <c r="D144" s="50"/>
      <c r="E144" s="50"/>
      <c r="F144" s="50"/>
      <c r="G144" s="50"/>
      <c r="H144" s="50"/>
      <c r="I144" s="50"/>
      <c r="J144" s="50"/>
      <c r="K144" s="50"/>
    </row>
    <row r="145" spans="2:11" outlineLevel="1" x14ac:dyDescent="0.3"/>
    <row r="146" spans="2:11" outlineLevel="1" x14ac:dyDescent="0.3">
      <c r="B146" s="79" t="s">
        <v>111</v>
      </c>
      <c r="C146" s="52"/>
      <c r="D146" s="52"/>
      <c r="E146" s="52"/>
      <c r="F146" s="52"/>
      <c r="G146" s="52"/>
      <c r="H146" s="52"/>
      <c r="I146" s="52"/>
      <c r="J146" s="52"/>
      <c r="K146" s="52"/>
    </row>
    <row r="147" spans="2:11" outlineLevel="1" x14ac:dyDescent="0.3">
      <c r="B147" s="53" t="s">
        <v>56</v>
      </c>
      <c r="C147" s="52"/>
      <c r="D147" s="52"/>
      <c r="E147" s="52"/>
      <c r="F147" s="58"/>
      <c r="G147" s="58">
        <v>0</v>
      </c>
      <c r="H147" s="58">
        <v>0</v>
      </c>
      <c r="I147" s="58">
        <v>0</v>
      </c>
      <c r="J147" s="58">
        <v>0</v>
      </c>
      <c r="K147" s="58">
        <v>0</v>
      </c>
    </row>
    <row r="148" spans="2:11" outlineLevel="1" x14ac:dyDescent="0.3">
      <c r="B148" s="53" t="s">
        <v>57</v>
      </c>
      <c r="C148" s="52"/>
      <c r="D148" s="52"/>
      <c r="E148" s="52"/>
      <c r="F148" s="52"/>
      <c r="G148" s="58">
        <v>0.01</v>
      </c>
      <c r="H148" s="58">
        <v>0.01</v>
      </c>
      <c r="I148" s="58">
        <v>0.01</v>
      </c>
      <c r="J148" s="58">
        <v>0.01</v>
      </c>
      <c r="K148" s="58">
        <v>0.01</v>
      </c>
    </row>
    <row r="149" spans="2:11" outlineLevel="1" x14ac:dyDescent="0.3">
      <c r="B149" s="53" t="s">
        <v>58</v>
      </c>
      <c r="C149" s="52"/>
      <c r="D149" s="52"/>
      <c r="E149" s="52"/>
      <c r="F149" s="52"/>
      <c r="G149" s="58">
        <v>0.02</v>
      </c>
      <c r="H149" s="58">
        <v>0.02</v>
      </c>
      <c r="I149" s="58">
        <v>0.02</v>
      </c>
      <c r="J149" s="58">
        <v>0.02</v>
      </c>
      <c r="K149" s="58">
        <v>0.02</v>
      </c>
    </row>
    <row r="150" spans="2:11" outlineLevel="1" x14ac:dyDescent="0.3">
      <c r="B150" s="54" t="str">
        <f>"Current Case - "&amp;CHOOSE($G$4,B147,B148,B149)</f>
        <v>Current Case - Management Case</v>
      </c>
      <c r="C150" s="55"/>
      <c r="D150" s="55"/>
      <c r="E150" s="55"/>
      <c r="F150" s="55"/>
      <c r="G150" s="114">
        <f>CHOOSE($G$4,G147,G148,G149)</f>
        <v>0</v>
      </c>
      <c r="H150" s="114">
        <f t="shared" ref="H150:K150" si="20">CHOOSE($G$4,H147,H148,H149)</f>
        <v>0</v>
      </c>
      <c r="I150" s="114">
        <f t="shared" si="20"/>
        <v>0</v>
      </c>
      <c r="J150" s="114">
        <f t="shared" si="20"/>
        <v>0</v>
      </c>
      <c r="K150" s="114">
        <f t="shared" si="20"/>
        <v>0</v>
      </c>
    </row>
    <row r="151" spans="2:11" outlineLevel="1" x14ac:dyDescent="0.3"/>
    <row r="152" spans="2:11" outlineLevel="1" x14ac:dyDescent="0.3">
      <c r="B152" s="79" t="s">
        <v>113</v>
      </c>
      <c r="C152" s="52"/>
      <c r="D152" s="52"/>
      <c r="E152" s="52"/>
      <c r="F152" s="52"/>
      <c r="G152" s="52"/>
      <c r="H152" s="52"/>
      <c r="I152" s="52"/>
      <c r="J152" s="52"/>
      <c r="K152" s="52"/>
    </row>
    <row r="153" spans="2:11" outlineLevel="1" x14ac:dyDescent="0.3">
      <c r="B153" s="53" t="s">
        <v>56</v>
      </c>
      <c r="C153" s="52"/>
      <c r="D153" s="52"/>
      <c r="E153" s="52"/>
      <c r="F153" s="58"/>
      <c r="G153" s="58">
        <v>0</v>
      </c>
      <c r="H153" s="58">
        <v>0</v>
      </c>
      <c r="I153" s="58">
        <v>0</v>
      </c>
      <c r="J153" s="58">
        <v>0</v>
      </c>
      <c r="K153" s="58">
        <v>0</v>
      </c>
    </row>
    <row r="154" spans="2:11" outlineLevel="1" x14ac:dyDescent="0.3">
      <c r="B154" s="53" t="s">
        <v>57</v>
      </c>
      <c r="C154" s="52"/>
      <c r="D154" s="52"/>
      <c r="E154" s="52"/>
      <c r="F154" s="52"/>
      <c r="G154" s="58">
        <v>0.01</v>
      </c>
      <c r="H154" s="58">
        <v>0.01</v>
      </c>
      <c r="I154" s="58">
        <v>0.01</v>
      </c>
      <c r="J154" s="58">
        <v>0.01</v>
      </c>
      <c r="K154" s="58">
        <v>0.01</v>
      </c>
    </row>
    <row r="155" spans="2:11" outlineLevel="1" x14ac:dyDescent="0.3">
      <c r="B155" s="53" t="s">
        <v>58</v>
      </c>
      <c r="C155" s="52"/>
      <c r="D155" s="52"/>
      <c r="E155" s="52"/>
      <c r="F155" s="52"/>
      <c r="G155" s="58">
        <v>0.02</v>
      </c>
      <c r="H155" s="58">
        <v>0.02</v>
      </c>
      <c r="I155" s="58">
        <v>0.02</v>
      </c>
      <c r="J155" s="58">
        <v>0.02</v>
      </c>
      <c r="K155" s="58">
        <v>0.02</v>
      </c>
    </row>
    <row r="156" spans="2:11" outlineLevel="1" x14ac:dyDescent="0.3">
      <c r="B156" s="54" t="str">
        <f>"Current Case - "&amp;CHOOSE($G$4,B153,B154,B155)</f>
        <v>Current Case - Management Case</v>
      </c>
      <c r="C156" s="55"/>
      <c r="D156" s="55"/>
      <c r="E156" s="55"/>
      <c r="F156" s="55"/>
      <c r="G156" s="114">
        <f>CHOOSE($G$4,G153,G154,G155)</f>
        <v>0</v>
      </c>
      <c r="H156" s="114">
        <f t="shared" ref="H156:K156" si="21">CHOOSE($G$4,H153,H154,H155)</f>
        <v>0</v>
      </c>
      <c r="I156" s="114">
        <f t="shared" si="21"/>
        <v>0</v>
      </c>
      <c r="J156" s="114">
        <f t="shared" si="21"/>
        <v>0</v>
      </c>
      <c r="K156" s="114">
        <f t="shared" si="21"/>
        <v>0</v>
      </c>
    </row>
    <row r="157" spans="2:11" outlineLevel="1" x14ac:dyDescent="0.3"/>
    <row r="158" spans="2:11" outlineLevel="1" x14ac:dyDescent="0.3">
      <c r="B158" s="79" t="s">
        <v>115</v>
      </c>
      <c r="C158" s="52"/>
      <c r="D158" s="52"/>
      <c r="E158" s="52"/>
      <c r="F158" s="52"/>
      <c r="G158" s="52"/>
      <c r="H158" s="52"/>
      <c r="I158" s="52"/>
      <c r="J158" s="52"/>
      <c r="K158" s="52"/>
    </row>
    <row r="159" spans="2:11" outlineLevel="1" x14ac:dyDescent="0.3">
      <c r="B159" s="53" t="s">
        <v>56</v>
      </c>
      <c r="C159" s="52"/>
      <c r="D159" s="52"/>
      <c r="E159" s="52"/>
      <c r="F159" s="58"/>
      <c r="G159" s="58">
        <v>0.09</v>
      </c>
      <c r="H159" s="58">
        <v>0.09</v>
      </c>
      <c r="I159" s="58">
        <v>0.09</v>
      </c>
      <c r="J159" s="58">
        <v>0.09</v>
      </c>
      <c r="K159" s="58">
        <v>0.09</v>
      </c>
    </row>
    <row r="160" spans="2:11" outlineLevel="1" x14ac:dyDescent="0.3">
      <c r="B160" s="53" t="s">
        <v>57</v>
      </c>
      <c r="C160" s="52"/>
      <c r="D160" s="52"/>
      <c r="E160" s="52"/>
      <c r="F160" s="52"/>
      <c r="G160" s="58">
        <v>0.08</v>
      </c>
      <c r="H160" s="58">
        <v>0.08</v>
      </c>
      <c r="I160" s="58">
        <v>0.08</v>
      </c>
      <c r="J160" s="58">
        <v>0.08</v>
      </c>
      <c r="K160" s="58">
        <v>0.08</v>
      </c>
    </row>
    <row r="161" spans="2:11" outlineLevel="1" x14ac:dyDescent="0.3">
      <c r="B161" s="53" t="s">
        <v>58</v>
      </c>
      <c r="C161" s="52"/>
      <c r="D161" s="52"/>
      <c r="E161" s="52"/>
      <c r="F161" s="52"/>
      <c r="G161" s="58">
        <v>0.1</v>
      </c>
      <c r="H161" s="58">
        <v>0.1</v>
      </c>
      <c r="I161" s="58">
        <v>0.1</v>
      </c>
      <c r="J161" s="58">
        <v>0.1</v>
      </c>
      <c r="K161" s="58">
        <v>0.1</v>
      </c>
    </row>
    <row r="162" spans="2:11" outlineLevel="1" x14ac:dyDescent="0.3">
      <c r="B162" s="54" t="str">
        <f>"Current Case - "&amp;CHOOSE($G$4,B159,B160,B161)</f>
        <v>Current Case - Management Case</v>
      </c>
      <c r="C162" s="55"/>
      <c r="D162" s="55"/>
      <c r="E162" s="55"/>
      <c r="F162" s="55"/>
      <c r="G162" s="114">
        <f>CHOOSE($G$4,G159,G160,G161)</f>
        <v>0.09</v>
      </c>
      <c r="H162" s="114">
        <f t="shared" ref="H162:K162" si="22">CHOOSE($G$4,H159,H160,H161)</f>
        <v>0.09</v>
      </c>
      <c r="I162" s="114">
        <f t="shared" si="22"/>
        <v>0.09</v>
      </c>
      <c r="J162" s="114">
        <f t="shared" si="22"/>
        <v>0.09</v>
      </c>
      <c r="K162" s="114">
        <f t="shared" si="22"/>
        <v>0.09</v>
      </c>
    </row>
    <row r="163" spans="2:11" outlineLevel="1" x14ac:dyDescent="0.3"/>
    <row r="164" spans="2:11" outlineLevel="1" x14ac:dyDescent="0.3">
      <c r="B164" s="79" t="s">
        <v>116</v>
      </c>
      <c r="C164" s="52"/>
      <c r="D164" s="52"/>
      <c r="E164" s="52"/>
      <c r="F164" s="52"/>
      <c r="G164" s="52"/>
      <c r="H164" s="52"/>
      <c r="I164" s="52"/>
      <c r="J164" s="52"/>
      <c r="K164" s="52"/>
    </row>
    <row r="165" spans="2:11" outlineLevel="1" x14ac:dyDescent="0.3">
      <c r="B165" s="53" t="s">
        <v>56</v>
      </c>
      <c r="C165" s="52"/>
      <c r="D165" s="52"/>
      <c r="E165" s="52"/>
      <c r="F165" s="58"/>
      <c r="G165" s="58">
        <v>0.15</v>
      </c>
      <c r="H165" s="58">
        <v>0.15</v>
      </c>
      <c r="I165" s="58">
        <v>0.15</v>
      </c>
      <c r="J165" s="58">
        <v>0.16</v>
      </c>
      <c r="K165" s="58">
        <v>0.16</v>
      </c>
    </row>
    <row r="166" spans="2:11" outlineLevel="1" x14ac:dyDescent="0.3">
      <c r="B166" s="53" t="s">
        <v>57</v>
      </c>
      <c r="C166" s="52"/>
      <c r="D166" s="52"/>
      <c r="E166" s="52"/>
      <c r="F166" s="52"/>
      <c r="G166" s="58">
        <v>0.16</v>
      </c>
      <c r="H166" s="58">
        <v>0.16</v>
      </c>
      <c r="I166" s="58">
        <v>0.16</v>
      </c>
      <c r="J166" s="58">
        <v>0.16</v>
      </c>
      <c r="K166" s="58">
        <v>0.16</v>
      </c>
    </row>
    <row r="167" spans="2:11" outlineLevel="1" x14ac:dyDescent="0.3">
      <c r="B167" s="53" t="s">
        <v>58</v>
      </c>
      <c r="C167" s="52"/>
      <c r="D167" s="52"/>
      <c r="E167" s="52"/>
      <c r="F167" s="52"/>
      <c r="G167" s="58">
        <v>0.17</v>
      </c>
      <c r="H167" s="58">
        <v>0.17</v>
      </c>
      <c r="I167" s="58">
        <v>0.17</v>
      </c>
      <c r="J167" s="58">
        <v>0.17</v>
      </c>
      <c r="K167" s="58">
        <v>0.17</v>
      </c>
    </row>
    <row r="168" spans="2:11" outlineLevel="1" x14ac:dyDescent="0.3">
      <c r="B168" s="54" t="str">
        <f>"Current Case - "&amp;CHOOSE($G$4,B165,B166,B167)</f>
        <v>Current Case - Management Case</v>
      </c>
      <c r="C168" s="55"/>
      <c r="D168" s="55"/>
      <c r="E168" s="55"/>
      <c r="F168" s="55"/>
      <c r="G168" s="114">
        <f>CHOOSE($G$4,G165,G166,G167)</f>
        <v>0.15</v>
      </c>
      <c r="H168" s="114">
        <f t="shared" ref="H168:K168" si="23">CHOOSE($G$4,H165,H166,H167)</f>
        <v>0.15</v>
      </c>
      <c r="I168" s="114">
        <f t="shared" si="23"/>
        <v>0.15</v>
      </c>
      <c r="J168" s="114">
        <f t="shared" si="23"/>
        <v>0.16</v>
      </c>
      <c r="K168" s="114">
        <f t="shared" si="23"/>
        <v>0.16</v>
      </c>
    </row>
    <row r="169" spans="2:11" outlineLevel="1" x14ac:dyDescent="0.3"/>
    <row r="170" spans="2:11" outlineLevel="1" x14ac:dyDescent="0.3">
      <c r="B170" s="79" t="s">
        <v>117</v>
      </c>
      <c r="C170" s="52"/>
      <c r="D170" s="52"/>
      <c r="E170" s="52"/>
      <c r="F170" s="52"/>
      <c r="G170" s="52"/>
      <c r="H170" s="52"/>
      <c r="I170" s="52"/>
      <c r="J170" s="52"/>
      <c r="K170" s="52"/>
    </row>
    <row r="171" spans="2:11" outlineLevel="1" x14ac:dyDescent="0.3">
      <c r="B171" s="53" t="s">
        <v>56</v>
      </c>
      <c r="C171" s="52"/>
      <c r="D171" s="52"/>
      <c r="E171" s="52"/>
      <c r="F171" s="58"/>
      <c r="G171" s="58">
        <v>0.01</v>
      </c>
      <c r="H171" s="58">
        <v>0.01</v>
      </c>
      <c r="I171" s="58">
        <v>0.01</v>
      </c>
      <c r="J171" s="58">
        <v>0.01</v>
      </c>
      <c r="K171" s="58">
        <v>0.01</v>
      </c>
    </row>
    <row r="172" spans="2:11" outlineLevel="1" x14ac:dyDescent="0.3">
      <c r="B172" s="53" t="s">
        <v>57</v>
      </c>
      <c r="C172" s="52"/>
      <c r="D172" s="52"/>
      <c r="E172" s="52"/>
      <c r="F172" s="52"/>
      <c r="G172" s="58">
        <v>0.01</v>
      </c>
      <c r="H172" s="58">
        <v>0.01</v>
      </c>
      <c r="I172" s="58">
        <v>0.01</v>
      </c>
      <c r="J172" s="58">
        <v>0.01</v>
      </c>
      <c r="K172" s="58">
        <v>0.01</v>
      </c>
    </row>
    <row r="173" spans="2:11" outlineLevel="1" x14ac:dyDescent="0.3">
      <c r="B173" s="53" t="s">
        <v>58</v>
      </c>
      <c r="C173" s="52"/>
      <c r="D173" s="52"/>
      <c r="E173" s="52"/>
      <c r="F173" s="52"/>
      <c r="G173" s="58">
        <v>0.02</v>
      </c>
      <c r="H173" s="58">
        <v>0.02</v>
      </c>
      <c r="I173" s="58">
        <v>0.02</v>
      </c>
      <c r="J173" s="58">
        <v>0.02</v>
      </c>
      <c r="K173" s="58">
        <v>0.02</v>
      </c>
    </row>
    <row r="174" spans="2:11" outlineLevel="1" x14ac:dyDescent="0.3">
      <c r="B174" s="54" t="str">
        <f>"Current Case - "&amp;CHOOSE($G$4,B171,B172,B173)</f>
        <v>Current Case - Management Case</v>
      </c>
      <c r="C174" s="55"/>
      <c r="D174" s="55"/>
      <c r="E174" s="55"/>
      <c r="F174" s="55"/>
      <c r="G174" s="114">
        <f>CHOOSE($G$4,G171,G172,G173)</f>
        <v>0.01</v>
      </c>
      <c r="H174" s="114">
        <f t="shared" ref="H174:K174" si="24">CHOOSE($G$4,H171,H172,H173)</f>
        <v>0.01</v>
      </c>
      <c r="I174" s="114">
        <f t="shared" si="24"/>
        <v>0.01</v>
      </c>
      <c r="J174" s="114">
        <f t="shared" si="24"/>
        <v>0.01</v>
      </c>
      <c r="K174" s="114">
        <f t="shared" si="24"/>
        <v>0.01</v>
      </c>
    </row>
    <row r="175" spans="2:11" outlineLevel="1" x14ac:dyDescent="0.3"/>
    <row r="176" spans="2:11" outlineLevel="1" x14ac:dyDescent="0.3">
      <c r="B176" s="79" t="s">
        <v>118</v>
      </c>
      <c r="C176" s="52"/>
      <c r="D176" s="52"/>
      <c r="E176" s="52"/>
      <c r="F176" s="52"/>
      <c r="G176" s="52"/>
      <c r="H176" s="52"/>
      <c r="I176" s="52"/>
      <c r="J176" s="52"/>
      <c r="K176" s="52"/>
    </row>
    <row r="177" spans="2:11" outlineLevel="1" x14ac:dyDescent="0.3">
      <c r="B177" s="53" t="s">
        <v>56</v>
      </c>
      <c r="C177" s="52"/>
      <c r="D177" s="52"/>
      <c r="E177" s="52"/>
      <c r="F177" s="58"/>
      <c r="G177" s="58">
        <v>2.5000000000000001E-2</v>
      </c>
      <c r="H177" s="58">
        <v>2.5000000000000001E-2</v>
      </c>
      <c r="I177" s="58">
        <v>2.5000000000000001E-2</v>
      </c>
      <c r="J177" s="58">
        <v>2.5000000000000001E-2</v>
      </c>
      <c r="K177" s="58">
        <v>2.5000000000000001E-2</v>
      </c>
    </row>
    <row r="178" spans="2:11" outlineLevel="1" x14ac:dyDescent="0.3">
      <c r="B178" s="53" t="s">
        <v>57</v>
      </c>
      <c r="C178" s="52"/>
      <c r="D178" s="52"/>
      <c r="E178" s="52"/>
      <c r="F178" s="52"/>
      <c r="G178" s="58">
        <v>1.4999999999999999E-2</v>
      </c>
      <c r="H178" s="58">
        <v>1.4999999999999999E-2</v>
      </c>
      <c r="I178" s="58">
        <v>1.4999999999999999E-2</v>
      </c>
      <c r="J178" s="58">
        <v>1.4999999999999999E-2</v>
      </c>
      <c r="K178" s="58">
        <v>1.4999999999999999E-2</v>
      </c>
    </row>
    <row r="179" spans="2:11" outlineLevel="1" x14ac:dyDescent="0.3">
      <c r="B179" s="53" t="s">
        <v>58</v>
      </c>
      <c r="C179" s="52"/>
      <c r="D179" s="52"/>
      <c r="E179" s="52"/>
      <c r="F179" s="52"/>
      <c r="G179" s="58">
        <v>3.5000000000000003E-2</v>
      </c>
      <c r="H179" s="58">
        <v>3.5000000000000003E-2</v>
      </c>
      <c r="I179" s="58">
        <v>3.5000000000000003E-2</v>
      </c>
      <c r="J179" s="58">
        <v>3.5000000000000003E-2</v>
      </c>
      <c r="K179" s="58">
        <v>3.5000000000000003E-2</v>
      </c>
    </row>
    <row r="180" spans="2:11" outlineLevel="1" x14ac:dyDescent="0.3">
      <c r="B180" s="54" t="str">
        <f>"Current Case - "&amp;CHOOSE($G$4,B177,B178,B179)</f>
        <v>Current Case - Management Case</v>
      </c>
      <c r="C180" s="55"/>
      <c r="D180" s="55"/>
      <c r="E180" s="55"/>
      <c r="F180" s="55"/>
      <c r="G180" s="114">
        <f>CHOOSE($G$4,G177,G178,G179)</f>
        <v>2.5000000000000001E-2</v>
      </c>
      <c r="H180" s="114">
        <f t="shared" ref="H180:K180" si="25">CHOOSE($G$4,H177,H178,H179)</f>
        <v>2.5000000000000001E-2</v>
      </c>
      <c r="I180" s="114">
        <f t="shared" si="25"/>
        <v>2.5000000000000001E-2</v>
      </c>
      <c r="J180" s="114">
        <f t="shared" si="25"/>
        <v>2.5000000000000001E-2</v>
      </c>
      <c r="K180" s="114">
        <f t="shared" si="25"/>
        <v>2.5000000000000001E-2</v>
      </c>
    </row>
    <row r="181" spans="2:11" outlineLevel="1" x14ac:dyDescent="0.3"/>
    <row r="182" spans="2:11" outlineLevel="1" x14ac:dyDescent="0.3">
      <c r="B182" s="94" t="s">
        <v>10</v>
      </c>
    </row>
    <row r="183" spans="2:11" outlineLevel="1" x14ac:dyDescent="0.3">
      <c r="B183" s="59"/>
    </row>
    <row r="184" spans="2:11" outlineLevel="1" x14ac:dyDescent="0.3">
      <c r="B184" s="79" t="s">
        <v>119</v>
      </c>
      <c r="C184" s="52"/>
      <c r="D184" s="52"/>
      <c r="E184" s="52"/>
      <c r="F184" s="52"/>
      <c r="G184" s="52"/>
      <c r="H184" s="52"/>
      <c r="I184" s="52"/>
      <c r="J184" s="52"/>
      <c r="K184" s="52"/>
    </row>
    <row r="185" spans="2:11" outlineLevel="1" x14ac:dyDescent="0.3">
      <c r="B185" s="53" t="s">
        <v>56</v>
      </c>
      <c r="C185" s="52"/>
      <c r="D185" s="52"/>
      <c r="E185" s="52"/>
      <c r="F185" s="58"/>
      <c r="G185" s="58">
        <v>0.02</v>
      </c>
      <c r="H185" s="58">
        <v>0.02</v>
      </c>
      <c r="I185" s="58">
        <v>0.02</v>
      </c>
      <c r="J185" s="58">
        <v>0.02</v>
      </c>
      <c r="K185" s="58">
        <v>0.02</v>
      </c>
    </row>
    <row r="186" spans="2:11" outlineLevel="1" x14ac:dyDescent="0.3">
      <c r="B186" s="53" t="s">
        <v>57</v>
      </c>
      <c r="C186" s="52"/>
      <c r="D186" s="52"/>
      <c r="E186" s="52"/>
      <c r="F186" s="52"/>
      <c r="G186" s="58">
        <v>0.01</v>
      </c>
      <c r="H186" s="58">
        <v>0.01</v>
      </c>
      <c r="I186" s="58">
        <v>0.01</v>
      </c>
      <c r="J186" s="58">
        <v>0.01</v>
      </c>
      <c r="K186" s="58">
        <v>0.01</v>
      </c>
    </row>
    <row r="187" spans="2:11" outlineLevel="1" x14ac:dyDescent="0.3">
      <c r="B187" s="53" t="s">
        <v>58</v>
      </c>
      <c r="C187" s="52"/>
      <c r="D187" s="52"/>
      <c r="E187" s="52"/>
      <c r="F187" s="52"/>
      <c r="G187" s="58">
        <v>0.03</v>
      </c>
      <c r="H187" s="58">
        <v>0.03</v>
      </c>
      <c r="I187" s="58">
        <v>0.03</v>
      </c>
      <c r="J187" s="58">
        <v>0.03</v>
      </c>
      <c r="K187" s="58">
        <v>0.03</v>
      </c>
    </row>
    <row r="188" spans="2:11" outlineLevel="1" x14ac:dyDescent="0.3">
      <c r="B188" s="54" t="str">
        <f>"Current Case - "&amp;CHOOSE($G$4,B185,B186,B187)</f>
        <v>Current Case - Management Case</v>
      </c>
      <c r="C188" s="55"/>
      <c r="D188" s="55"/>
      <c r="E188" s="55"/>
      <c r="F188" s="55"/>
      <c r="G188" s="114">
        <f>CHOOSE($G$4,G185,G186,G187)</f>
        <v>0.02</v>
      </c>
      <c r="H188" s="114">
        <f t="shared" ref="H188:K188" si="26">CHOOSE($G$4,H185,H186,H187)</f>
        <v>0.02</v>
      </c>
      <c r="I188" s="114">
        <f t="shared" si="26"/>
        <v>0.02</v>
      </c>
      <c r="J188" s="114">
        <f t="shared" si="26"/>
        <v>0.02</v>
      </c>
      <c r="K188" s="114">
        <f t="shared" si="26"/>
        <v>0.02</v>
      </c>
    </row>
    <row r="189" spans="2:11" outlineLevel="1" x14ac:dyDescent="0.3"/>
    <row r="190" spans="2:11" outlineLevel="1" x14ac:dyDescent="0.3">
      <c r="B190" s="79" t="s">
        <v>156</v>
      </c>
      <c r="C190" s="52"/>
      <c r="D190" s="52"/>
      <c r="E190" s="52"/>
      <c r="F190" s="52"/>
      <c r="G190" s="52"/>
      <c r="H190" s="52"/>
      <c r="I190" s="52"/>
      <c r="J190" s="52"/>
      <c r="K190" s="52"/>
    </row>
    <row r="191" spans="2:11" outlineLevel="1" x14ac:dyDescent="0.3">
      <c r="B191" s="53" t="s">
        <v>56</v>
      </c>
      <c r="C191" s="52"/>
      <c r="D191" s="52"/>
      <c r="E191" s="52"/>
      <c r="F191" s="58"/>
      <c r="G191" s="58">
        <v>0.03</v>
      </c>
      <c r="H191" s="58">
        <v>0.03</v>
      </c>
      <c r="I191" s="58">
        <v>0.03</v>
      </c>
      <c r="J191" s="58">
        <v>0.03</v>
      </c>
      <c r="K191" s="58">
        <v>0.03</v>
      </c>
    </row>
    <row r="192" spans="2:11" outlineLevel="1" x14ac:dyDescent="0.3">
      <c r="B192" s="53" t="s">
        <v>57</v>
      </c>
      <c r="C192" s="52"/>
      <c r="D192" s="52"/>
      <c r="E192" s="52"/>
      <c r="F192" s="52"/>
      <c r="G192" s="58">
        <v>0.02</v>
      </c>
      <c r="H192" s="58">
        <v>0.02</v>
      </c>
      <c r="I192" s="58">
        <v>0.02</v>
      </c>
      <c r="J192" s="58">
        <v>0.02</v>
      </c>
      <c r="K192" s="58">
        <v>0.02</v>
      </c>
    </row>
    <row r="193" spans="1:11" outlineLevel="1" x14ac:dyDescent="0.3">
      <c r="B193" s="53" t="s">
        <v>58</v>
      </c>
      <c r="C193" s="52"/>
      <c r="D193" s="52"/>
      <c r="E193" s="52"/>
      <c r="F193" s="52"/>
      <c r="G193" s="58">
        <v>0.04</v>
      </c>
      <c r="H193" s="58">
        <v>0.04</v>
      </c>
      <c r="I193" s="58">
        <v>0.04</v>
      </c>
      <c r="J193" s="58">
        <v>0.04</v>
      </c>
      <c r="K193" s="58">
        <v>0.04</v>
      </c>
    </row>
    <row r="194" spans="1:11" outlineLevel="1" x14ac:dyDescent="0.3">
      <c r="B194" s="54" t="str">
        <f>"Current Case - "&amp;CHOOSE($G$4,B191,B192,B193)</f>
        <v>Current Case - Management Case</v>
      </c>
      <c r="C194" s="55"/>
      <c r="D194" s="55"/>
      <c r="E194" s="55"/>
      <c r="F194" s="55"/>
      <c r="G194" s="114">
        <f>CHOOSE($G$4,G191,G192,G193)</f>
        <v>0.03</v>
      </c>
      <c r="H194" s="114">
        <f t="shared" ref="H194:K194" si="27">CHOOSE($G$4,H191,H192,H193)</f>
        <v>0.03</v>
      </c>
      <c r="I194" s="114">
        <f t="shared" si="27"/>
        <v>0.03</v>
      </c>
      <c r="J194" s="114">
        <f t="shared" si="27"/>
        <v>0.03</v>
      </c>
      <c r="K194" s="114">
        <f t="shared" si="27"/>
        <v>0.03</v>
      </c>
    </row>
    <row r="195" spans="1:11" outlineLevel="1" x14ac:dyDescent="0.3"/>
    <row r="197" spans="1:11" ht="18" x14ac:dyDescent="0.35">
      <c r="A197" t="s">
        <v>52</v>
      </c>
      <c r="B197" s="76" t="s">
        <v>158</v>
      </c>
      <c r="C197" s="48"/>
      <c r="D197" s="48"/>
      <c r="E197" s="48"/>
      <c r="F197" s="48"/>
      <c r="G197" s="48"/>
      <c r="H197" s="48"/>
      <c r="I197" s="48"/>
      <c r="J197" s="48"/>
      <c r="K197" s="48"/>
    </row>
    <row r="198" spans="1:11" outlineLevel="1" x14ac:dyDescent="0.3"/>
    <row r="199" spans="1:11" ht="15.6" outlineLevel="1" x14ac:dyDescent="0.3">
      <c r="B199" s="93" t="s">
        <v>159</v>
      </c>
      <c r="C199" s="50"/>
      <c r="D199" s="50"/>
      <c r="E199" s="50"/>
      <c r="F199" s="50"/>
      <c r="G199" s="50"/>
      <c r="H199" s="50"/>
      <c r="I199" s="50"/>
      <c r="J199" s="50"/>
      <c r="K199" s="50"/>
    </row>
    <row r="200" spans="1:11" outlineLevel="1" x14ac:dyDescent="0.3"/>
    <row r="201" spans="1:11" outlineLevel="1" x14ac:dyDescent="0.3">
      <c r="B201" s="77" t="s">
        <v>160</v>
      </c>
      <c r="C201" s="78"/>
      <c r="D201" s="78"/>
      <c r="E201" s="78"/>
      <c r="F201" s="78"/>
      <c r="G201" s="78"/>
      <c r="H201" s="78"/>
      <c r="I201" s="78"/>
      <c r="J201" s="78"/>
      <c r="K201" s="78"/>
    </row>
    <row r="202" spans="1:11" outlineLevel="1" x14ac:dyDescent="0.3">
      <c r="B202" s="53" t="s">
        <v>56</v>
      </c>
      <c r="C202" s="52"/>
      <c r="D202" s="52"/>
      <c r="E202" s="52"/>
      <c r="F202" s="58"/>
      <c r="G202" s="58">
        <v>0.05</v>
      </c>
      <c r="H202" s="58">
        <v>0.05</v>
      </c>
      <c r="I202" s="58">
        <v>0.05</v>
      </c>
      <c r="J202" s="58">
        <v>0.05</v>
      </c>
      <c r="K202" s="58">
        <v>0.05</v>
      </c>
    </row>
    <row r="203" spans="1:11" outlineLevel="1" x14ac:dyDescent="0.3">
      <c r="B203" s="53" t="s">
        <v>57</v>
      </c>
      <c r="C203" s="52"/>
      <c r="D203" s="52"/>
      <c r="E203" s="52"/>
      <c r="F203" s="52"/>
      <c r="G203" s="58">
        <v>0.04</v>
      </c>
      <c r="H203" s="58">
        <v>0.04</v>
      </c>
      <c r="I203" s="58">
        <v>0.04</v>
      </c>
      <c r="J203" s="58">
        <v>0.04</v>
      </c>
      <c r="K203" s="58">
        <v>0.04</v>
      </c>
    </row>
    <row r="204" spans="1:11" outlineLevel="1" x14ac:dyDescent="0.3">
      <c r="B204" s="53" t="s">
        <v>58</v>
      </c>
      <c r="C204" s="52"/>
      <c r="D204" s="52"/>
      <c r="E204" s="52"/>
      <c r="F204" s="52"/>
      <c r="G204" s="58">
        <v>0.06</v>
      </c>
      <c r="H204" s="58">
        <v>0.06</v>
      </c>
      <c r="I204" s="58">
        <v>0.06</v>
      </c>
      <c r="J204" s="58">
        <v>0.06</v>
      </c>
      <c r="K204" s="58">
        <v>0.06</v>
      </c>
    </row>
    <row r="205" spans="1:11" outlineLevel="1" x14ac:dyDescent="0.3">
      <c r="B205" s="54" t="str">
        <f>"Current Case - "&amp;CHOOSE($G$4,B202,B203,B204)</f>
        <v>Current Case - Management Case</v>
      </c>
      <c r="C205" s="55"/>
      <c r="D205" s="55"/>
      <c r="E205" s="55"/>
      <c r="F205" s="55"/>
      <c r="G205" s="114">
        <f>CHOOSE($G$4,G202,G203,G204)</f>
        <v>0.05</v>
      </c>
      <c r="H205" s="114">
        <f t="shared" ref="H205:K205" si="28">CHOOSE($G$4,H202,H203,H204)</f>
        <v>0.05</v>
      </c>
      <c r="I205" s="114">
        <f t="shared" si="28"/>
        <v>0.05</v>
      </c>
      <c r="J205" s="114">
        <f t="shared" si="28"/>
        <v>0.05</v>
      </c>
      <c r="K205" s="114">
        <f t="shared" si="28"/>
        <v>0.05</v>
      </c>
    </row>
    <row r="206" spans="1:11" outlineLevel="1" x14ac:dyDescent="0.3"/>
    <row r="207" spans="1:11" ht="15.6" outlineLevel="1" x14ac:dyDescent="0.3">
      <c r="B207" s="93" t="s">
        <v>162</v>
      </c>
      <c r="C207" s="50"/>
      <c r="D207" s="50"/>
      <c r="E207" s="50"/>
      <c r="F207" s="50"/>
      <c r="G207" s="50"/>
      <c r="H207" s="50"/>
      <c r="I207" s="50"/>
      <c r="J207" s="50"/>
      <c r="K207" s="50"/>
    </row>
    <row r="208" spans="1:11" outlineLevel="1" x14ac:dyDescent="0.3"/>
    <row r="209" spans="1:11" outlineLevel="1" x14ac:dyDescent="0.3">
      <c r="B209" s="77" t="s">
        <v>161</v>
      </c>
      <c r="C209" s="78"/>
      <c r="D209" s="78"/>
      <c r="E209" s="78"/>
      <c r="F209" s="78"/>
      <c r="G209" s="78"/>
      <c r="H209" s="78"/>
      <c r="I209" s="78"/>
      <c r="J209" s="78"/>
      <c r="K209" s="78"/>
    </row>
    <row r="210" spans="1:11" outlineLevel="1" x14ac:dyDescent="0.3">
      <c r="B210" s="53" t="s">
        <v>56</v>
      </c>
      <c r="C210" s="52"/>
      <c r="D210" s="52"/>
      <c r="E210" s="52"/>
      <c r="F210" s="58"/>
      <c r="G210" s="58">
        <v>0.03</v>
      </c>
      <c r="H210" s="58">
        <v>0.03</v>
      </c>
      <c r="I210" s="58">
        <v>0.03</v>
      </c>
      <c r="J210" s="58">
        <v>0.03</v>
      </c>
      <c r="K210" s="58">
        <v>0.03</v>
      </c>
    </row>
    <row r="211" spans="1:11" outlineLevel="1" x14ac:dyDescent="0.3">
      <c r="B211" s="53" t="s">
        <v>57</v>
      </c>
      <c r="C211" s="52"/>
      <c r="D211" s="52"/>
      <c r="E211" s="52"/>
      <c r="F211" s="52"/>
      <c r="G211" s="58">
        <v>0.02</v>
      </c>
      <c r="H211" s="58">
        <v>0.02</v>
      </c>
      <c r="I211" s="58">
        <v>0.02</v>
      </c>
      <c r="J211" s="58">
        <v>0.02</v>
      </c>
      <c r="K211" s="58">
        <v>0.02</v>
      </c>
    </row>
    <row r="212" spans="1:11" outlineLevel="1" x14ac:dyDescent="0.3">
      <c r="B212" s="53" t="s">
        <v>58</v>
      </c>
      <c r="C212" s="52"/>
      <c r="D212" s="52"/>
      <c r="E212" s="52"/>
      <c r="F212" s="52"/>
      <c r="G212" s="58">
        <v>0.04</v>
      </c>
      <c r="H212" s="58">
        <v>0.04</v>
      </c>
      <c r="I212" s="58">
        <v>0.04</v>
      </c>
      <c r="J212" s="58">
        <v>0.04</v>
      </c>
      <c r="K212" s="58">
        <v>0.04</v>
      </c>
    </row>
    <row r="213" spans="1:11" outlineLevel="1" x14ac:dyDescent="0.3">
      <c r="B213" s="54" t="str">
        <f>"Current Case - "&amp;CHOOSE($G$4,B210,B211,B212)</f>
        <v>Current Case - Management Case</v>
      </c>
      <c r="C213" s="55"/>
      <c r="D213" s="55"/>
      <c r="E213" s="55"/>
      <c r="F213" s="55"/>
      <c r="G213" s="114">
        <f>CHOOSE($G$4,G210,G211,G212)</f>
        <v>0.03</v>
      </c>
      <c r="H213" s="114">
        <f t="shared" ref="H213:K213" si="29">CHOOSE($G$4,H210,H211,H212)</f>
        <v>0.03</v>
      </c>
      <c r="I213" s="114">
        <f t="shared" si="29"/>
        <v>0.03</v>
      </c>
      <c r="J213" s="114">
        <f t="shared" si="29"/>
        <v>0.03</v>
      </c>
      <c r="K213" s="114">
        <f t="shared" si="29"/>
        <v>0.03</v>
      </c>
    </row>
    <row r="215" spans="1:11" ht="18" x14ac:dyDescent="0.35">
      <c r="A215" t="s">
        <v>52</v>
      </c>
      <c r="B215" s="76" t="s">
        <v>163</v>
      </c>
      <c r="C215" s="48"/>
      <c r="D215" s="48"/>
      <c r="E215" s="48"/>
      <c r="F215" s="48"/>
      <c r="G215" s="48"/>
      <c r="H215" s="48"/>
      <c r="I215" s="48"/>
      <c r="J215" s="48"/>
      <c r="K215" s="48"/>
    </row>
    <row r="216" spans="1:11" outlineLevel="1" x14ac:dyDescent="0.3"/>
    <row r="217" spans="1:11" outlineLevel="1" x14ac:dyDescent="0.3">
      <c r="B217" s="77" t="s">
        <v>164</v>
      </c>
      <c r="C217" s="78"/>
      <c r="D217" s="78"/>
      <c r="E217" s="78"/>
      <c r="F217" s="78"/>
      <c r="G217" s="78"/>
      <c r="H217" s="78"/>
      <c r="I217" s="78"/>
      <c r="J217" s="78"/>
      <c r="K217" s="78"/>
    </row>
    <row r="218" spans="1:11" outlineLevel="1" x14ac:dyDescent="0.3">
      <c r="B218" s="53" t="s">
        <v>56</v>
      </c>
      <c r="C218" s="52"/>
      <c r="D218" s="52"/>
      <c r="E218" s="52"/>
      <c r="F218" s="58"/>
      <c r="G218" s="58">
        <v>0.25</v>
      </c>
      <c r="H218" s="58">
        <v>0.25</v>
      </c>
      <c r="I218" s="58">
        <v>0.25</v>
      </c>
      <c r="J218" s="58">
        <v>0.25</v>
      </c>
      <c r="K218" s="58">
        <v>0.25</v>
      </c>
    </row>
    <row r="219" spans="1:11" outlineLevel="1" x14ac:dyDescent="0.3">
      <c r="B219" s="53" t="s">
        <v>57</v>
      </c>
      <c r="C219" s="52"/>
      <c r="D219" s="52"/>
      <c r="E219" s="52"/>
      <c r="F219" s="52"/>
      <c r="G219" s="58">
        <v>0.25</v>
      </c>
      <c r="H219" s="58">
        <v>0.25</v>
      </c>
      <c r="I219" s="58">
        <v>0.25</v>
      </c>
      <c r="J219" s="58">
        <v>0.25</v>
      </c>
      <c r="K219" s="58">
        <v>0.25</v>
      </c>
    </row>
    <row r="220" spans="1:11" outlineLevel="1" x14ac:dyDescent="0.3">
      <c r="B220" s="53" t="s">
        <v>58</v>
      </c>
      <c r="C220" s="52"/>
      <c r="D220" s="52"/>
      <c r="E220" s="52"/>
      <c r="F220" s="52"/>
      <c r="G220" s="58">
        <v>0.25</v>
      </c>
      <c r="H220" s="58">
        <v>0.25</v>
      </c>
      <c r="I220" s="58">
        <v>0.25</v>
      </c>
      <c r="J220" s="58">
        <v>0.25</v>
      </c>
      <c r="K220" s="58">
        <v>0.25</v>
      </c>
    </row>
    <row r="221" spans="1:11" outlineLevel="1" x14ac:dyDescent="0.3">
      <c r="B221" s="54" t="str">
        <f>"Current Case - "&amp;CHOOSE($G$4,B218,B219,B220)</f>
        <v>Current Case - Management Case</v>
      </c>
      <c r="C221" s="55"/>
      <c r="D221" s="55"/>
      <c r="E221" s="55"/>
      <c r="F221" s="55"/>
      <c r="G221" s="114">
        <f>CHOOSE($G$4,G218,G219,G220)</f>
        <v>0.25</v>
      </c>
      <c r="H221" s="114">
        <f t="shared" ref="H221:K221" si="30">CHOOSE($G$4,H218,H219,H220)</f>
        <v>0.25</v>
      </c>
      <c r="I221" s="114">
        <f t="shared" si="30"/>
        <v>0.25</v>
      </c>
      <c r="J221" s="114">
        <f t="shared" si="30"/>
        <v>0.25</v>
      </c>
      <c r="K221" s="114">
        <f t="shared" si="30"/>
        <v>0.25</v>
      </c>
    </row>
    <row r="223" spans="1:11" ht="18" x14ac:dyDescent="0.35">
      <c r="A223" t="s">
        <v>52</v>
      </c>
      <c r="B223" s="76" t="s">
        <v>165</v>
      </c>
      <c r="C223" s="48"/>
      <c r="D223" s="48"/>
      <c r="E223" s="48"/>
      <c r="F223" s="48"/>
      <c r="G223" s="48"/>
      <c r="H223" s="48"/>
      <c r="I223" s="48"/>
      <c r="J223" s="48"/>
      <c r="K223" s="48"/>
    </row>
    <row r="224" spans="1:11" outlineLevel="1" x14ac:dyDescent="0.3"/>
    <row r="225" spans="1:13" outlineLevel="1" x14ac:dyDescent="0.3">
      <c r="B225" s="77" t="s">
        <v>166</v>
      </c>
      <c r="C225" s="78"/>
      <c r="D225" s="78"/>
      <c r="E225" s="78"/>
      <c r="F225" s="78"/>
      <c r="G225" s="78"/>
      <c r="H225" s="78"/>
      <c r="I225" s="78"/>
      <c r="J225" s="78"/>
      <c r="K225" s="78"/>
    </row>
    <row r="226" spans="1:13" outlineLevel="1" x14ac:dyDescent="0.3">
      <c r="B226" s="53" t="s">
        <v>56</v>
      </c>
      <c r="C226" s="52"/>
      <c r="D226" s="52"/>
      <c r="E226" s="52"/>
      <c r="F226" s="58"/>
      <c r="G226" s="112">
        <v>500</v>
      </c>
      <c r="H226" s="112">
        <v>500</v>
      </c>
      <c r="I226" s="112">
        <v>0</v>
      </c>
      <c r="J226" s="112">
        <v>0</v>
      </c>
      <c r="K226" s="112">
        <v>0</v>
      </c>
      <c r="M226" t="s">
        <v>46</v>
      </c>
    </row>
    <row r="227" spans="1:13" outlineLevel="1" x14ac:dyDescent="0.3">
      <c r="B227" s="53" t="s">
        <v>57</v>
      </c>
      <c r="C227" s="52"/>
      <c r="D227" s="52"/>
      <c r="E227" s="52"/>
      <c r="F227" s="52"/>
      <c r="G227" s="112">
        <v>500</v>
      </c>
      <c r="H227" s="112">
        <v>500</v>
      </c>
      <c r="I227" s="112">
        <v>0</v>
      </c>
      <c r="J227" s="112">
        <v>0</v>
      </c>
      <c r="K227" s="112">
        <v>0</v>
      </c>
    </row>
    <row r="228" spans="1:13" outlineLevel="1" x14ac:dyDescent="0.3">
      <c r="B228" s="53" t="s">
        <v>58</v>
      </c>
      <c r="C228" s="52"/>
      <c r="D228" s="52"/>
      <c r="E228" s="52"/>
      <c r="F228" s="52"/>
      <c r="G228" s="112">
        <v>500</v>
      </c>
      <c r="H228" s="112">
        <v>500</v>
      </c>
      <c r="I228" s="112">
        <v>0</v>
      </c>
      <c r="J228" s="112">
        <v>0</v>
      </c>
      <c r="K228" s="112">
        <v>0</v>
      </c>
    </row>
    <row r="229" spans="1:13" outlineLevel="1" x14ac:dyDescent="0.3">
      <c r="B229" s="54" t="str">
        <f>"Current Case - "&amp;CHOOSE($G$4,B226,B227,B228)</f>
        <v>Current Case - Management Case</v>
      </c>
      <c r="C229" s="55"/>
      <c r="D229" s="55"/>
      <c r="E229" s="55"/>
      <c r="F229" s="55"/>
      <c r="G229" s="116">
        <f>CHOOSE($G$4,G226,G227,G228)</f>
        <v>500</v>
      </c>
      <c r="H229" s="116">
        <f t="shared" ref="H229:K229" si="31">CHOOSE($G$4,H226,H227,H228)</f>
        <v>500</v>
      </c>
      <c r="I229" s="116">
        <f t="shared" si="31"/>
        <v>0</v>
      </c>
      <c r="J229" s="116">
        <f t="shared" si="31"/>
        <v>0</v>
      </c>
      <c r="K229" s="116">
        <f t="shared" si="31"/>
        <v>0</v>
      </c>
    </row>
    <row r="231" spans="1:13" ht="18" x14ac:dyDescent="0.35">
      <c r="A231" t="s">
        <v>52</v>
      </c>
      <c r="B231" s="76" t="s">
        <v>167</v>
      </c>
      <c r="C231" s="48"/>
      <c r="D231" s="48"/>
      <c r="E231" s="48"/>
      <c r="F231" s="48"/>
      <c r="G231" s="48"/>
      <c r="H231" s="48"/>
      <c r="I231" s="48"/>
      <c r="J231" s="48"/>
      <c r="K231" s="48"/>
    </row>
    <row r="232" spans="1:13" outlineLevel="1" x14ac:dyDescent="0.3"/>
    <row r="233" spans="1:13" outlineLevel="1" x14ac:dyDescent="0.3">
      <c r="B233" s="77" t="s">
        <v>168</v>
      </c>
      <c r="C233" s="78"/>
      <c r="D233" s="78"/>
      <c r="E233" s="78"/>
      <c r="F233" s="78"/>
      <c r="G233" s="78"/>
      <c r="H233" s="78"/>
      <c r="I233" s="78"/>
      <c r="J233" s="78"/>
      <c r="K233" s="78"/>
    </row>
    <row r="234" spans="1:13" outlineLevel="1" x14ac:dyDescent="0.3">
      <c r="B234" s="53" t="s">
        <v>56</v>
      </c>
      <c r="C234" s="52"/>
      <c r="D234" s="52"/>
      <c r="E234" s="52"/>
      <c r="F234" s="58"/>
      <c r="G234" s="58">
        <v>2E-3</v>
      </c>
      <c r="H234" s="58">
        <v>2E-3</v>
      </c>
      <c r="I234" s="58">
        <v>2E-3</v>
      </c>
      <c r="J234" s="58">
        <v>2E-3</v>
      </c>
      <c r="K234" s="58">
        <v>2E-3</v>
      </c>
    </row>
    <row r="235" spans="1:13" outlineLevel="1" x14ac:dyDescent="0.3">
      <c r="B235" s="53" t="s">
        <v>57</v>
      </c>
      <c r="C235" s="52"/>
      <c r="D235" s="52"/>
      <c r="E235" s="52"/>
      <c r="F235" s="52"/>
      <c r="G235" s="58">
        <v>1E-3</v>
      </c>
      <c r="H235" s="58">
        <v>1E-3</v>
      </c>
      <c r="I235" s="58">
        <v>1E-3</v>
      </c>
      <c r="J235" s="58">
        <v>1E-3</v>
      </c>
      <c r="K235" s="58">
        <v>1E-3</v>
      </c>
    </row>
    <row r="236" spans="1:13" outlineLevel="1" x14ac:dyDescent="0.3">
      <c r="B236" s="53" t="s">
        <v>58</v>
      </c>
      <c r="C236" s="52"/>
      <c r="D236" s="52"/>
      <c r="E236" s="52"/>
      <c r="F236" s="52"/>
      <c r="G236" s="58">
        <v>3.0000000000000001E-3</v>
      </c>
      <c r="H236" s="58">
        <v>3.0000000000000001E-3</v>
      </c>
      <c r="I236" s="58">
        <v>3.0000000000000001E-3</v>
      </c>
      <c r="J236" s="58">
        <v>3.0000000000000001E-3</v>
      </c>
      <c r="K236" s="58">
        <v>3.0000000000000001E-3</v>
      </c>
    </row>
    <row r="237" spans="1:13" outlineLevel="1" x14ac:dyDescent="0.3">
      <c r="B237" s="115" t="str">
        <f>"Current Case - "&amp;CHOOSE($G$4,B234,B235,B236)</f>
        <v>Current Case - Management Case</v>
      </c>
      <c r="C237" s="115"/>
      <c r="D237" s="115"/>
      <c r="E237" s="115"/>
      <c r="F237" s="115"/>
      <c r="G237" s="114">
        <f>CHOOSE($G$4,G234,G235,G236)</f>
        <v>2E-3</v>
      </c>
      <c r="H237" s="114">
        <f t="shared" ref="H237:K237" si="32">CHOOSE($G$4,H234,H235,H236)</f>
        <v>2E-3</v>
      </c>
      <c r="I237" s="114">
        <f t="shared" si="32"/>
        <v>2E-3</v>
      </c>
      <c r="J237" s="114">
        <f t="shared" si="32"/>
        <v>2E-3</v>
      </c>
      <c r="K237" s="114">
        <f t="shared" si="32"/>
        <v>2E-3</v>
      </c>
    </row>
    <row r="239" spans="1:13" ht="18" x14ac:dyDescent="0.35">
      <c r="A239" t="s">
        <v>52</v>
      </c>
      <c r="B239" s="76" t="s">
        <v>169</v>
      </c>
      <c r="C239" s="48"/>
      <c r="D239" s="48"/>
      <c r="E239" s="48"/>
      <c r="F239" s="48"/>
      <c r="G239" s="48"/>
      <c r="H239" s="48"/>
      <c r="I239" s="48"/>
      <c r="J239" s="48"/>
      <c r="K239" s="48"/>
    </row>
    <row r="240" spans="1:13" outlineLevel="1" x14ac:dyDescent="0.3">
      <c r="B240" s="113" t="s">
        <v>170</v>
      </c>
    </row>
    <row r="241" spans="1:11" outlineLevel="1" x14ac:dyDescent="0.3">
      <c r="B241" s="77" t="s">
        <v>171</v>
      </c>
      <c r="C241" s="78"/>
      <c r="D241" s="78"/>
      <c r="E241" s="78"/>
      <c r="F241" s="78"/>
      <c r="G241" s="78"/>
      <c r="H241" s="78"/>
      <c r="I241" s="78"/>
      <c r="J241" s="78"/>
      <c r="K241" s="78"/>
    </row>
    <row r="242" spans="1:11" outlineLevel="1" x14ac:dyDescent="0.3">
      <c r="B242" s="53" t="s">
        <v>56</v>
      </c>
      <c r="C242" s="52"/>
      <c r="D242" s="52"/>
      <c r="E242" s="52"/>
      <c r="F242" s="58"/>
      <c r="G242" s="58">
        <v>3.5000000000000003E-2</v>
      </c>
      <c r="H242" s="58">
        <v>3.5000000000000003E-2</v>
      </c>
      <c r="I242" s="58">
        <v>3.5000000000000003E-2</v>
      </c>
      <c r="J242" s="58">
        <v>3.5000000000000003E-2</v>
      </c>
      <c r="K242" s="58">
        <v>3.5000000000000003E-2</v>
      </c>
    </row>
    <row r="243" spans="1:11" outlineLevel="1" x14ac:dyDescent="0.3">
      <c r="B243" s="53" t="s">
        <v>57</v>
      </c>
      <c r="C243" s="52"/>
      <c r="D243" s="52"/>
      <c r="E243" s="52"/>
      <c r="F243" s="52"/>
      <c r="G243" s="58">
        <v>3.5000000000000003E-2</v>
      </c>
      <c r="H243" s="58">
        <v>3.5000000000000003E-2</v>
      </c>
      <c r="I243" s="58">
        <v>3.5000000000000003E-2</v>
      </c>
      <c r="J243" s="58">
        <v>3.5000000000000003E-2</v>
      </c>
      <c r="K243" s="58">
        <v>3.5000000000000003E-2</v>
      </c>
    </row>
    <row r="244" spans="1:11" outlineLevel="1" x14ac:dyDescent="0.3">
      <c r="B244" s="53" t="s">
        <v>58</v>
      </c>
      <c r="C244" s="52"/>
      <c r="D244" s="52"/>
      <c r="E244" s="52"/>
      <c r="F244" s="52"/>
      <c r="G244" s="58">
        <v>3.5000000000000003E-2</v>
      </c>
      <c r="H244" s="58">
        <v>3.5000000000000003E-2</v>
      </c>
      <c r="I244" s="58">
        <v>3.5000000000000003E-2</v>
      </c>
      <c r="J244" s="58">
        <v>3.5000000000000003E-2</v>
      </c>
      <c r="K244" s="58">
        <v>3.5000000000000003E-2</v>
      </c>
    </row>
    <row r="245" spans="1:11" outlineLevel="1" x14ac:dyDescent="0.3">
      <c r="B245" s="54" t="str">
        <f>"Current Case - "&amp;CHOOSE($G$4,B242,B243,B244)</f>
        <v>Current Case - Management Case</v>
      </c>
      <c r="C245" s="55"/>
      <c r="D245" s="55"/>
      <c r="E245" s="55"/>
      <c r="F245" s="55"/>
      <c r="G245" s="114">
        <f>CHOOSE($G$4,G242,G243,G244)</f>
        <v>3.5000000000000003E-2</v>
      </c>
      <c r="H245" s="114">
        <f t="shared" ref="H245:K245" si="33">CHOOSE($G$4,H242,H243,H244)</f>
        <v>3.5000000000000003E-2</v>
      </c>
      <c r="I245" s="114">
        <f t="shared" si="33"/>
        <v>3.5000000000000003E-2</v>
      </c>
      <c r="J245" s="114">
        <f t="shared" si="33"/>
        <v>3.5000000000000003E-2</v>
      </c>
      <c r="K245" s="114">
        <f t="shared" si="33"/>
        <v>3.5000000000000003E-2</v>
      </c>
    </row>
    <row r="247" spans="1:11" ht="18" x14ac:dyDescent="0.35">
      <c r="A247" t="s">
        <v>52</v>
      </c>
      <c r="B247" s="76" t="s">
        <v>172</v>
      </c>
      <c r="C247" s="48"/>
      <c r="D247" s="48"/>
      <c r="E247" s="48"/>
      <c r="F247" s="48"/>
      <c r="G247" s="48"/>
      <c r="H247" s="48"/>
      <c r="I247" s="48"/>
      <c r="J247" s="48"/>
      <c r="K247" s="48"/>
    </row>
    <row r="248" spans="1:11" outlineLevel="1" x14ac:dyDescent="0.3"/>
    <row r="249" spans="1:11" outlineLevel="1" x14ac:dyDescent="0.3">
      <c r="B249" s="77" t="s">
        <v>173</v>
      </c>
      <c r="C249" s="78"/>
      <c r="D249" s="78"/>
      <c r="E249" s="78"/>
      <c r="F249" s="78"/>
      <c r="G249" s="78"/>
      <c r="H249" s="78"/>
      <c r="I249" s="78"/>
      <c r="J249" s="78"/>
      <c r="K249" s="78"/>
    </row>
    <row r="250" spans="1:11" outlineLevel="1" x14ac:dyDescent="0.3">
      <c r="B250" s="53" t="s">
        <v>56</v>
      </c>
      <c r="C250" s="52"/>
      <c r="D250" s="52"/>
      <c r="E250" s="52"/>
      <c r="F250" s="58"/>
      <c r="G250" s="58">
        <v>0.3</v>
      </c>
      <c r="H250" s="58">
        <v>0.3</v>
      </c>
      <c r="I250" s="58">
        <v>0.3</v>
      </c>
      <c r="J250" s="58">
        <v>0.3</v>
      </c>
      <c r="K250" s="58">
        <v>0.3</v>
      </c>
    </row>
    <row r="251" spans="1:11" outlineLevel="1" x14ac:dyDescent="0.3">
      <c r="B251" s="53" t="s">
        <v>57</v>
      </c>
      <c r="C251" s="52"/>
      <c r="D251" s="52"/>
      <c r="E251" s="52"/>
      <c r="F251" s="52"/>
      <c r="G251" s="58">
        <v>0.3</v>
      </c>
      <c r="H251" s="58">
        <v>0.3</v>
      </c>
      <c r="I251" s="58">
        <v>0.3</v>
      </c>
      <c r="J251" s="58">
        <v>0.3</v>
      </c>
      <c r="K251" s="58">
        <v>0.3</v>
      </c>
    </row>
    <row r="252" spans="1:11" outlineLevel="1" x14ac:dyDescent="0.3">
      <c r="B252" s="53" t="s">
        <v>58</v>
      </c>
      <c r="C252" s="52"/>
      <c r="D252" s="52"/>
      <c r="E252" s="52"/>
      <c r="F252" s="52"/>
      <c r="G252" s="58">
        <v>0.3</v>
      </c>
      <c r="H252" s="58">
        <v>0.3</v>
      </c>
      <c r="I252" s="58">
        <v>0.3</v>
      </c>
      <c r="J252" s="58">
        <v>0.3</v>
      </c>
      <c r="K252" s="58">
        <v>0.3</v>
      </c>
    </row>
    <row r="253" spans="1:11" outlineLevel="1" x14ac:dyDescent="0.3">
      <c r="B253" s="54" t="str">
        <f>"Current Case - "&amp;CHOOSE($G$4,B250,B251,B252)</f>
        <v>Current Case - Management Case</v>
      </c>
      <c r="C253" s="55"/>
      <c r="D253" s="55"/>
      <c r="E253" s="55"/>
      <c r="F253" s="55"/>
      <c r="G253" s="114">
        <f>CHOOSE($G$4,G250,G251,G252)</f>
        <v>0.3</v>
      </c>
      <c r="H253" s="114">
        <f t="shared" ref="H253:K253" si="34">CHOOSE($G$4,H250,H251,H252)</f>
        <v>0.3</v>
      </c>
      <c r="I253" s="114">
        <f t="shared" si="34"/>
        <v>0.3</v>
      </c>
      <c r="J253" s="114">
        <f t="shared" si="34"/>
        <v>0.3</v>
      </c>
      <c r="K253" s="114">
        <f t="shared" si="34"/>
        <v>0.3</v>
      </c>
    </row>
  </sheetData>
  <mergeCells count="1">
    <mergeCell ref="G8:K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 Down 1">
              <controlPr defaultSize="0" autoLine="0" autoPict="0">
                <anchor moveWithCells="1">
                  <from>
                    <xdr:col>6</xdr:col>
                    <xdr:colOff>38100</xdr:colOff>
                    <xdr:row>2</xdr:row>
                    <xdr:rowOff>198120</xdr:rowOff>
                  </from>
                  <to>
                    <xdr:col>8</xdr:col>
                    <xdr:colOff>30480</xdr:colOff>
                    <xdr:row>3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9D2D-3010-4517-B6D4-3EC6FB96F5CC}">
  <dimension ref="A2:M354"/>
  <sheetViews>
    <sheetView showGridLines="0" workbookViewId="0">
      <pane xSplit="1" ySplit="9" topLeftCell="B147" activePane="bottomRight" state="frozen"/>
      <selection pane="topRight" activeCell="B1" sqref="B1"/>
      <selection pane="bottomLeft" activeCell="A10" sqref="A10"/>
      <selection pane="bottomRight" activeCell="B195" sqref="B195"/>
    </sheetView>
  </sheetViews>
  <sheetFormatPr defaultRowHeight="14.4" outlineLevelRow="1" x14ac:dyDescent="0.3"/>
  <cols>
    <col min="1" max="1" width="1.88671875" customWidth="1"/>
    <col min="2" max="2" width="41.33203125" customWidth="1"/>
    <col min="3" max="3" width="18.88671875" bestFit="1" customWidth="1"/>
    <col min="4" max="10" width="12.77734375" customWidth="1"/>
    <col min="15" max="15" width="12.77734375" customWidth="1"/>
  </cols>
  <sheetData>
    <row r="2" spans="1:10" ht="23.4" x14ac:dyDescent="0.45">
      <c r="B2" s="47" t="s">
        <v>47</v>
      </c>
      <c r="C2" s="44"/>
    </row>
    <row r="3" spans="1:10" ht="18" x14ac:dyDescent="0.35">
      <c r="B3" s="46" t="s">
        <v>48</v>
      </c>
    </row>
    <row r="4" spans="1:10" x14ac:dyDescent="0.3">
      <c r="E4" t="s">
        <v>59</v>
      </c>
      <c r="F4">
        <v>1</v>
      </c>
    </row>
    <row r="8" spans="1:10" x14ac:dyDescent="0.3">
      <c r="E8" s="49" t="s">
        <v>50</v>
      </c>
      <c r="F8" s="235" t="s">
        <v>51</v>
      </c>
      <c r="G8" s="235"/>
      <c r="H8" s="235"/>
      <c r="I8" s="235"/>
      <c r="J8" s="235"/>
    </row>
    <row r="9" spans="1:10" x14ac:dyDescent="0.3">
      <c r="B9" s="81" t="s">
        <v>49</v>
      </c>
      <c r="C9" s="45"/>
      <c r="D9" s="45"/>
      <c r="E9" s="45">
        <v>2023</v>
      </c>
      <c r="F9" s="45">
        <f>E9+1</f>
        <v>2024</v>
      </c>
      <c r="G9" s="45">
        <f t="shared" ref="G9:J9" si="0">F9+1</f>
        <v>2025</v>
      </c>
      <c r="H9" s="45">
        <f t="shared" si="0"/>
        <v>2026</v>
      </c>
      <c r="I9" s="45">
        <f t="shared" si="0"/>
        <v>2027</v>
      </c>
      <c r="J9" s="45">
        <f t="shared" si="0"/>
        <v>2028</v>
      </c>
    </row>
    <row r="11" spans="1:10" ht="18" x14ac:dyDescent="0.35">
      <c r="A11" t="s">
        <v>52</v>
      </c>
      <c r="B11" s="76" t="s">
        <v>82</v>
      </c>
      <c r="C11" s="48"/>
      <c r="D11" s="48"/>
      <c r="E11" s="48"/>
      <c r="F11" s="48"/>
      <c r="G11" s="48"/>
      <c r="H11" s="48"/>
      <c r="I11" s="48"/>
      <c r="J11" s="48"/>
    </row>
    <row r="12" spans="1:10" outlineLevel="1" x14ac:dyDescent="0.3"/>
    <row r="13" spans="1:10" ht="18" outlineLevel="1" x14ac:dyDescent="0.35">
      <c r="B13" s="62" t="s">
        <v>54</v>
      </c>
      <c r="C13" s="63"/>
      <c r="D13" s="63"/>
      <c r="E13" s="63"/>
      <c r="F13" s="63"/>
      <c r="G13" s="63"/>
      <c r="H13" s="63"/>
      <c r="I13" s="63"/>
      <c r="J13" s="63"/>
    </row>
    <row r="14" spans="1:10" ht="4.05" customHeight="1" outlineLevel="1" x14ac:dyDescent="0.3"/>
    <row r="15" spans="1:10" outlineLevel="1" x14ac:dyDescent="0.3">
      <c r="B15" s="64" t="s">
        <v>65</v>
      </c>
      <c r="C15" s="64"/>
      <c r="D15" s="64"/>
      <c r="E15" s="83">
        <v>150</v>
      </c>
      <c r="F15" s="65">
        <f>E15*(1+F19)</f>
        <v>154.5</v>
      </c>
      <c r="G15" s="65">
        <f t="shared" ref="G15:J15" si="1">F15*(1+G19)</f>
        <v>159.13499999999999</v>
      </c>
      <c r="H15" s="65">
        <f>G15*(1+H19)</f>
        <v>163.90905000000001</v>
      </c>
      <c r="I15" s="65">
        <f t="shared" si="1"/>
        <v>168.82632150000001</v>
      </c>
      <c r="J15" s="65">
        <f t="shared" si="1"/>
        <v>173.891111145</v>
      </c>
    </row>
    <row r="16" spans="1:10" outlineLevel="1" x14ac:dyDescent="0.3">
      <c r="B16" t="s">
        <v>74</v>
      </c>
      <c r="E16" s="60">
        <v>279</v>
      </c>
      <c r="F16" s="233">
        <f t="shared" ref="F16:J16" si="2">E16*(1+F20)</f>
        <v>301.32</v>
      </c>
      <c r="G16" s="233">
        <f t="shared" si="2"/>
        <v>325.42560000000003</v>
      </c>
      <c r="H16" s="233">
        <f t="shared" si="2"/>
        <v>351.45964800000007</v>
      </c>
      <c r="I16" s="233">
        <f t="shared" si="2"/>
        <v>376.06182336000012</v>
      </c>
      <c r="J16" s="233">
        <f t="shared" si="2"/>
        <v>402.38615099520013</v>
      </c>
    </row>
    <row r="17" spans="1:13" outlineLevel="1" x14ac:dyDescent="0.3">
      <c r="B17" s="61" t="s">
        <v>66</v>
      </c>
      <c r="C17" s="61"/>
      <c r="D17" s="61"/>
      <c r="E17" s="66">
        <f>E16*E15</f>
        <v>41850</v>
      </c>
      <c r="F17" s="66">
        <f>F16*F15</f>
        <v>46553.94</v>
      </c>
      <c r="G17" s="66">
        <f t="shared" ref="G17:J17" si="3">G16*G15</f>
        <v>51786.602856000005</v>
      </c>
      <c r="H17" s="66">
        <f t="shared" si="3"/>
        <v>57607.417017014413</v>
      </c>
      <c r="I17" s="66">
        <f t="shared" si="3"/>
        <v>63489.134294451593</v>
      </c>
      <c r="J17" s="66">
        <f t="shared" si="3"/>
        <v>69971.374905915101</v>
      </c>
    </row>
    <row r="18" spans="1:13" outlineLevel="1" x14ac:dyDescent="0.3"/>
    <row r="19" spans="1:13" outlineLevel="1" x14ac:dyDescent="0.3">
      <c r="A19" t="s">
        <v>46</v>
      </c>
      <c r="B19" s="55" t="s">
        <v>67</v>
      </c>
      <c r="C19" s="55"/>
      <c r="D19" s="55"/>
      <c r="E19" s="55"/>
      <c r="F19" s="68">
        <f>ControlSheet!G19</f>
        <v>0.03</v>
      </c>
      <c r="G19" s="68">
        <f>ControlSheet!G19</f>
        <v>0.03</v>
      </c>
      <c r="H19" s="68">
        <f>ControlSheet!H19</f>
        <v>0.03</v>
      </c>
      <c r="I19" s="68">
        <f>ControlSheet!I19</f>
        <v>0.03</v>
      </c>
      <c r="J19" s="68">
        <f>ControlSheet!J19</f>
        <v>0.03</v>
      </c>
      <c r="M19" t="s">
        <v>46</v>
      </c>
    </row>
    <row r="20" spans="1:13" outlineLevel="1" x14ac:dyDescent="0.3">
      <c r="B20" s="55" t="s">
        <v>68</v>
      </c>
      <c r="C20" s="55"/>
      <c r="D20" s="55"/>
      <c r="E20" s="55"/>
      <c r="F20" s="69">
        <f>ControlSheet!G25</f>
        <v>0.08</v>
      </c>
      <c r="G20" s="69">
        <f>ControlSheet!H25</f>
        <v>0.08</v>
      </c>
      <c r="H20" s="69">
        <f>ControlSheet!I25</f>
        <v>0.08</v>
      </c>
      <c r="I20" s="69">
        <f>ControlSheet!J25</f>
        <v>7.0000000000000007E-2</v>
      </c>
      <c r="J20" s="69">
        <f>ControlSheet!K25</f>
        <v>7.0000000000000007E-2</v>
      </c>
    </row>
    <row r="21" spans="1:13" outlineLevel="1" x14ac:dyDescent="0.3">
      <c r="B21" s="55" t="s">
        <v>69</v>
      </c>
      <c r="C21" s="55"/>
      <c r="D21" s="55"/>
      <c r="E21" s="55"/>
      <c r="F21" s="67">
        <f>F17/E17-1</f>
        <v>0.11240000000000006</v>
      </c>
      <c r="G21" s="67">
        <f t="shared" ref="G21:J21" si="4">G17/F17-1</f>
        <v>0.11240000000000006</v>
      </c>
      <c r="H21" s="67">
        <f t="shared" si="4"/>
        <v>0.11240000000000006</v>
      </c>
      <c r="I21" s="67">
        <f t="shared" si="4"/>
        <v>0.10210000000000008</v>
      </c>
      <c r="J21" s="67">
        <f t="shared" si="4"/>
        <v>0.10210000000000008</v>
      </c>
    </row>
    <row r="22" spans="1:13" outlineLevel="1" x14ac:dyDescent="0.3">
      <c r="B22" s="60"/>
      <c r="E22" s="60"/>
      <c r="F22" s="60"/>
      <c r="G22" s="60"/>
      <c r="H22" s="60"/>
      <c r="I22" s="60"/>
      <c r="J22" s="60"/>
    </row>
    <row r="23" spans="1:13" ht="18" outlineLevel="1" x14ac:dyDescent="0.35">
      <c r="B23" s="62" t="s">
        <v>61</v>
      </c>
      <c r="C23" s="63"/>
      <c r="D23" s="63"/>
      <c r="E23" s="63"/>
      <c r="F23" s="63"/>
      <c r="G23" s="63"/>
      <c r="H23" s="63"/>
      <c r="I23" s="63"/>
      <c r="J23" s="63"/>
    </row>
    <row r="24" spans="1:13" ht="4.05" customHeight="1" outlineLevel="1" x14ac:dyDescent="0.3"/>
    <row r="25" spans="1:13" outlineLevel="1" x14ac:dyDescent="0.3">
      <c r="B25" s="64" t="s">
        <v>65</v>
      </c>
      <c r="C25" s="64"/>
      <c r="D25" s="64"/>
      <c r="E25" s="83">
        <v>50</v>
      </c>
      <c r="F25" s="65">
        <f>E25*(1+F29)</f>
        <v>51</v>
      </c>
      <c r="G25" s="65">
        <f t="shared" ref="G25:J25" si="5">F25*(1+G29)</f>
        <v>52.02</v>
      </c>
      <c r="H25" s="65">
        <f t="shared" si="5"/>
        <v>53.060400000000001</v>
      </c>
      <c r="I25" s="65">
        <f t="shared" si="5"/>
        <v>54.121608000000002</v>
      </c>
      <c r="J25" s="65">
        <f t="shared" si="5"/>
        <v>55.204040160000005</v>
      </c>
    </row>
    <row r="26" spans="1:13" outlineLevel="1" x14ac:dyDescent="0.3">
      <c r="B26" t="s">
        <v>74</v>
      </c>
      <c r="E26" s="60">
        <v>217</v>
      </c>
      <c r="F26" s="71">
        <f>E26*(1+F30)</f>
        <v>232.19000000000003</v>
      </c>
      <c r="G26" s="71">
        <f t="shared" ref="G26:J26" si="6">F26*(1+G30)</f>
        <v>248.44330000000005</v>
      </c>
      <c r="H26" s="71">
        <f t="shared" si="6"/>
        <v>265.83433100000008</v>
      </c>
      <c r="I26" s="71">
        <f t="shared" si="6"/>
        <v>279.12604755000007</v>
      </c>
      <c r="J26" s="71">
        <f t="shared" si="6"/>
        <v>293.0823499275001</v>
      </c>
    </row>
    <row r="27" spans="1:13" outlineLevel="1" x14ac:dyDescent="0.3">
      <c r="B27" s="61" t="s">
        <v>72</v>
      </c>
      <c r="C27" s="61"/>
      <c r="D27" s="61"/>
      <c r="E27" s="66">
        <f t="shared" ref="E27:J27" si="7">E26*E25</f>
        <v>10850</v>
      </c>
      <c r="F27" s="66">
        <f t="shared" si="7"/>
        <v>11841.69</v>
      </c>
      <c r="G27" s="66">
        <f t="shared" si="7"/>
        <v>12924.020466000004</v>
      </c>
      <c r="H27" s="66">
        <f t="shared" si="7"/>
        <v>14105.275936592405</v>
      </c>
      <c r="I27" s="66">
        <f t="shared" si="7"/>
        <v>15106.750528090464</v>
      </c>
      <c r="J27" s="66">
        <f t="shared" si="7"/>
        <v>16179.32981558489</v>
      </c>
    </row>
    <row r="28" spans="1:13" ht="14.4" customHeight="1" outlineLevel="1" x14ac:dyDescent="0.3"/>
    <row r="29" spans="1:13" outlineLevel="1" x14ac:dyDescent="0.3">
      <c r="B29" s="55" t="s">
        <v>67</v>
      </c>
      <c r="C29" s="55"/>
      <c r="D29" s="55"/>
      <c r="E29" s="55"/>
      <c r="F29" s="68">
        <f>ControlSheet!G33</f>
        <v>0.02</v>
      </c>
      <c r="G29" s="68">
        <f>ControlSheet!H33</f>
        <v>0.02</v>
      </c>
      <c r="H29" s="68">
        <f>ControlSheet!I33</f>
        <v>0.02</v>
      </c>
      <c r="I29" s="68">
        <f>ControlSheet!J33</f>
        <v>0.02</v>
      </c>
      <c r="J29" s="68">
        <f>ControlSheet!K33</f>
        <v>0.02</v>
      </c>
    </row>
    <row r="30" spans="1:13" outlineLevel="1" x14ac:dyDescent="0.3">
      <c r="B30" s="55" t="s">
        <v>68</v>
      </c>
      <c r="C30" s="55"/>
      <c r="D30" s="55"/>
      <c r="E30" s="55"/>
      <c r="F30" s="69">
        <f>ControlSheet!G39</f>
        <v>7.0000000000000007E-2</v>
      </c>
      <c r="G30" s="69">
        <f>ControlSheet!H39</f>
        <v>7.0000000000000007E-2</v>
      </c>
      <c r="H30" s="69">
        <f>ControlSheet!I39</f>
        <v>7.0000000000000007E-2</v>
      </c>
      <c r="I30" s="69">
        <f>ControlSheet!J39</f>
        <v>0.05</v>
      </c>
      <c r="J30" s="69">
        <f>ControlSheet!K39</f>
        <v>0.05</v>
      </c>
    </row>
    <row r="31" spans="1:13" outlineLevel="1" x14ac:dyDescent="0.3">
      <c r="B31" s="55" t="s">
        <v>73</v>
      </c>
      <c r="C31" s="55"/>
      <c r="D31" s="55"/>
      <c r="E31" s="55"/>
      <c r="F31" s="67">
        <f>F27/E27-1</f>
        <v>9.1400000000000148E-2</v>
      </c>
      <c r="G31" s="67">
        <f t="shared" ref="G31:J31" si="8">G27/F27-1</f>
        <v>9.1400000000000148E-2</v>
      </c>
      <c r="H31" s="67">
        <f t="shared" si="8"/>
        <v>9.1400000000000148E-2</v>
      </c>
      <c r="I31" s="67">
        <f t="shared" si="8"/>
        <v>7.0999999999999952E-2</v>
      </c>
      <c r="J31" s="67">
        <f t="shared" si="8"/>
        <v>7.1000000000000174E-2</v>
      </c>
    </row>
    <row r="32" spans="1:13" outlineLevel="1" x14ac:dyDescent="0.3">
      <c r="B32" s="60"/>
    </row>
    <row r="33" spans="1:10" ht="18" outlineLevel="1" x14ac:dyDescent="0.35">
      <c r="B33" s="62" t="s">
        <v>62</v>
      </c>
      <c r="C33" s="63"/>
      <c r="D33" s="63"/>
      <c r="E33" s="63"/>
      <c r="F33" s="63"/>
      <c r="G33" s="63"/>
      <c r="H33" s="63"/>
      <c r="I33" s="63"/>
      <c r="J33" s="63"/>
    </row>
    <row r="34" spans="1:10" ht="4.05" customHeight="1" outlineLevel="1" x14ac:dyDescent="0.3"/>
    <row r="35" spans="1:10" outlineLevel="1" x14ac:dyDescent="0.3">
      <c r="B35" s="64" t="s">
        <v>65</v>
      </c>
      <c r="C35" s="64"/>
      <c r="D35" s="64"/>
      <c r="E35" s="83">
        <v>30</v>
      </c>
      <c r="F35" s="65">
        <f>E35*(1+F39)</f>
        <v>30.3</v>
      </c>
      <c r="G35" s="65">
        <f t="shared" ref="G35:J35" si="9">F35*(1+G39)</f>
        <v>30.603000000000002</v>
      </c>
      <c r="H35" s="65">
        <f t="shared" si="9"/>
        <v>30.909030000000001</v>
      </c>
      <c r="I35" s="65">
        <f t="shared" si="9"/>
        <v>31.218120300000002</v>
      </c>
      <c r="J35" s="65">
        <f t="shared" si="9"/>
        <v>31.530301503000004</v>
      </c>
    </row>
    <row r="36" spans="1:10" outlineLevel="1" x14ac:dyDescent="0.3">
      <c r="B36" t="s">
        <v>74</v>
      </c>
      <c r="E36" s="60">
        <v>177</v>
      </c>
      <c r="F36" s="71">
        <f>E36*(1+F40)</f>
        <v>185.85</v>
      </c>
      <c r="G36" s="71">
        <f t="shared" ref="G36:J36" si="10">F36*(1+G40)</f>
        <v>195.14250000000001</v>
      </c>
      <c r="H36" s="71">
        <f t="shared" si="10"/>
        <v>200.99677500000001</v>
      </c>
      <c r="I36" s="71">
        <f t="shared" si="10"/>
        <v>207.02667825000003</v>
      </c>
      <c r="J36" s="71">
        <f t="shared" si="10"/>
        <v>213.23747859750003</v>
      </c>
    </row>
    <row r="37" spans="1:10" outlineLevel="1" x14ac:dyDescent="0.3">
      <c r="B37" s="61" t="s">
        <v>70</v>
      </c>
      <c r="C37" s="61"/>
      <c r="D37" s="61"/>
      <c r="E37" s="66">
        <f>E36*E35</f>
        <v>5310</v>
      </c>
      <c r="F37" s="66">
        <f t="shared" ref="F37:J37" si="11">F36*F35</f>
        <v>5631.2550000000001</v>
      </c>
      <c r="G37" s="66">
        <f t="shared" si="11"/>
        <v>5971.9459275000008</v>
      </c>
      <c r="H37" s="66">
        <f t="shared" si="11"/>
        <v>6212.6153483782509</v>
      </c>
      <c r="I37" s="66">
        <f t="shared" si="11"/>
        <v>6462.9837469178947</v>
      </c>
      <c r="J37" s="66">
        <f t="shared" si="11"/>
        <v>6723.4419919186867</v>
      </c>
    </row>
    <row r="38" spans="1:10" outlineLevel="1" x14ac:dyDescent="0.3"/>
    <row r="39" spans="1:10" outlineLevel="1" x14ac:dyDescent="0.3">
      <c r="B39" s="55" t="s">
        <v>67</v>
      </c>
      <c r="C39" s="55"/>
      <c r="D39" s="55"/>
      <c r="E39" s="55"/>
      <c r="F39" s="68">
        <f>ControlSheet!G47</f>
        <v>0.01</v>
      </c>
      <c r="G39" s="68">
        <f>ControlSheet!H47</f>
        <v>0.01</v>
      </c>
      <c r="H39" s="68">
        <f>ControlSheet!I47</f>
        <v>0.01</v>
      </c>
      <c r="I39" s="68">
        <f>ControlSheet!J47</f>
        <v>0.01</v>
      </c>
      <c r="J39" s="68">
        <f>ControlSheet!K47</f>
        <v>0.01</v>
      </c>
    </row>
    <row r="40" spans="1:10" outlineLevel="1" x14ac:dyDescent="0.3">
      <c r="B40" s="55" t="s">
        <v>68</v>
      </c>
      <c r="C40" s="55"/>
      <c r="D40" s="55"/>
      <c r="E40" s="55"/>
      <c r="F40" s="69">
        <f>ControlSheet!G53</f>
        <v>0.05</v>
      </c>
      <c r="G40" s="69">
        <f>ControlSheet!H53</f>
        <v>0.05</v>
      </c>
      <c r="H40" s="69">
        <f>ControlSheet!I53</f>
        <v>0.03</v>
      </c>
      <c r="I40" s="69">
        <f>ControlSheet!J53</f>
        <v>0.03</v>
      </c>
      <c r="J40" s="69">
        <f>ControlSheet!K53</f>
        <v>0.03</v>
      </c>
    </row>
    <row r="41" spans="1:10" outlineLevel="1" x14ac:dyDescent="0.3">
      <c r="B41" s="55" t="s">
        <v>71</v>
      </c>
      <c r="C41" s="55"/>
      <c r="D41" s="55"/>
      <c r="E41" s="55"/>
      <c r="F41" s="67">
        <f>F37/E37-1</f>
        <v>6.0499999999999998E-2</v>
      </c>
      <c r="G41" s="67">
        <f t="shared" ref="G41:J41" si="12">G37/F37-1</f>
        <v>6.050000000000022E-2</v>
      </c>
      <c r="H41" s="67">
        <f t="shared" si="12"/>
        <v>4.0300000000000002E-2</v>
      </c>
      <c r="I41" s="67">
        <f t="shared" si="12"/>
        <v>4.0300000000000002E-2</v>
      </c>
      <c r="J41" s="67">
        <f t="shared" si="12"/>
        <v>4.0300000000000225E-2</v>
      </c>
    </row>
    <row r="42" spans="1:10" ht="4.05" customHeight="1" outlineLevel="1" x14ac:dyDescent="0.3"/>
    <row r="43" spans="1:10" ht="15" outlineLevel="1" thickBot="1" x14ac:dyDescent="0.35">
      <c r="B43" s="59"/>
    </row>
    <row r="44" spans="1:10" ht="15" outlineLevel="1" thickBot="1" x14ac:dyDescent="0.35">
      <c r="B44" s="73" t="s">
        <v>75</v>
      </c>
      <c r="C44" s="72"/>
      <c r="D44" s="72"/>
      <c r="E44" s="74">
        <f>E37+E27+E17</f>
        <v>58010</v>
      </c>
      <c r="F44" s="74">
        <f>F37+F27+F17</f>
        <v>64026.885000000002</v>
      </c>
      <c r="G44" s="74">
        <f t="shared" ref="G44:J44" si="13">G37+G27+G17</f>
        <v>70682.569249500011</v>
      </c>
      <c r="H44" s="74">
        <f t="shared" si="13"/>
        <v>77925.30830198506</v>
      </c>
      <c r="I44" s="74">
        <f t="shared" si="13"/>
        <v>85058.868569459955</v>
      </c>
      <c r="J44" s="74">
        <f t="shared" si="13"/>
        <v>92874.146713418682</v>
      </c>
    </row>
    <row r="45" spans="1:10" ht="15" outlineLevel="1" thickTop="1" x14ac:dyDescent="0.3">
      <c r="B45" t="s">
        <v>76</v>
      </c>
      <c r="F45" s="75">
        <f>F44/E44-1</f>
        <v>0.10372151353214965</v>
      </c>
      <c r="G45" s="75">
        <f t="shared" ref="G45:J45" si="14">G44/F44-1</f>
        <v>0.10395139868978487</v>
      </c>
      <c r="H45" s="75">
        <f t="shared" si="14"/>
        <v>0.10246853120065791</v>
      </c>
      <c r="I45" s="75">
        <f t="shared" si="14"/>
        <v>9.1543561686404873E-2</v>
      </c>
      <c r="J45" s="75">
        <f t="shared" si="14"/>
        <v>9.1880814727469451E-2</v>
      </c>
    </row>
    <row r="46" spans="1:10" outlineLevel="1" x14ac:dyDescent="0.3">
      <c r="B46" s="60"/>
    </row>
    <row r="47" spans="1:10" x14ac:dyDescent="0.3">
      <c r="B47" s="59"/>
    </row>
    <row r="48" spans="1:10" ht="18" x14ac:dyDescent="0.35">
      <c r="A48" t="s">
        <v>52</v>
      </c>
      <c r="B48" s="76" t="s">
        <v>83</v>
      </c>
      <c r="C48" s="48"/>
      <c r="D48" s="48"/>
      <c r="E48" s="48"/>
      <c r="F48" s="48"/>
      <c r="G48" s="48"/>
      <c r="H48" s="48"/>
      <c r="I48" s="48"/>
      <c r="J48" s="48"/>
    </row>
    <row r="49" spans="2:10" outlineLevel="1" x14ac:dyDescent="0.3"/>
    <row r="50" spans="2:10" ht="18" outlineLevel="1" x14ac:dyDescent="0.35">
      <c r="B50" s="62" t="s">
        <v>54</v>
      </c>
      <c r="C50" s="63"/>
      <c r="D50" s="63"/>
      <c r="E50" s="63"/>
      <c r="F50" s="63"/>
      <c r="G50" s="63"/>
      <c r="H50" s="63"/>
      <c r="I50" s="63"/>
      <c r="J50" s="63"/>
    </row>
    <row r="51" spans="2:10" outlineLevel="1" x14ac:dyDescent="0.3">
      <c r="B51" s="60"/>
    </row>
    <row r="52" spans="2:10" outlineLevel="1" x14ac:dyDescent="0.3">
      <c r="B52" s="78" t="s">
        <v>84</v>
      </c>
      <c r="C52" s="78"/>
      <c r="D52" s="78"/>
      <c r="E52" s="80">
        <f>E16</f>
        <v>279</v>
      </c>
      <c r="F52" s="80">
        <f t="shared" ref="F52:J52" si="15">F16</f>
        <v>301.32</v>
      </c>
      <c r="G52" s="80">
        <f t="shared" si="15"/>
        <v>325.42560000000003</v>
      </c>
      <c r="H52" s="80">
        <f t="shared" si="15"/>
        <v>351.45964800000007</v>
      </c>
      <c r="I52" s="80">
        <f t="shared" si="15"/>
        <v>376.06182336000012</v>
      </c>
      <c r="J52" s="80">
        <f t="shared" si="15"/>
        <v>402.38615099520013</v>
      </c>
    </row>
    <row r="53" spans="2:10" outlineLevel="1" x14ac:dyDescent="0.3">
      <c r="B53" s="59"/>
    </row>
    <row r="54" spans="2:10" outlineLevel="1" x14ac:dyDescent="0.3">
      <c r="B54" t="s">
        <v>85</v>
      </c>
      <c r="E54" s="84">
        <v>27.5</v>
      </c>
      <c r="F54" s="85">
        <f>E54*(1+F68)</f>
        <v>27.5</v>
      </c>
      <c r="G54" s="85">
        <f t="shared" ref="G54:J54" si="16">F54*(1+G68)</f>
        <v>27.5</v>
      </c>
      <c r="H54" s="85">
        <f t="shared" si="16"/>
        <v>27.5</v>
      </c>
      <c r="I54" s="85">
        <f t="shared" si="16"/>
        <v>27.5</v>
      </c>
      <c r="J54" s="85">
        <f t="shared" si="16"/>
        <v>27.5</v>
      </c>
    </row>
    <row r="55" spans="2:10" outlineLevel="1" x14ac:dyDescent="0.3">
      <c r="B55" s="61" t="s">
        <v>86</v>
      </c>
      <c r="C55" s="64"/>
      <c r="D55" s="64"/>
      <c r="E55" s="65">
        <f>E54*E$52</f>
        <v>7672.5</v>
      </c>
      <c r="F55" s="65">
        <f t="shared" ref="F55:I55" si="17">F54*F$52</f>
        <v>8286.2999999999993</v>
      </c>
      <c r="G55" s="65">
        <f t="shared" si="17"/>
        <v>8949.2040000000015</v>
      </c>
      <c r="H55" s="65">
        <f t="shared" si="17"/>
        <v>9665.1403200000022</v>
      </c>
      <c r="I55" s="65">
        <f t="shared" si="17"/>
        <v>10341.700142400003</v>
      </c>
      <c r="J55" s="65">
        <f>J52*J54</f>
        <v>11065.619152368003</v>
      </c>
    </row>
    <row r="56" spans="2:10" outlineLevel="1" x14ac:dyDescent="0.3"/>
    <row r="57" spans="2:10" outlineLevel="1" x14ac:dyDescent="0.3">
      <c r="B57" t="s">
        <v>87</v>
      </c>
      <c r="E57" s="84">
        <v>10</v>
      </c>
      <c r="F57" s="85">
        <f>E57*(1+F69)</f>
        <v>10</v>
      </c>
      <c r="G57" s="85">
        <f t="shared" ref="G57:J57" si="18">F57*(1+G69)</f>
        <v>10</v>
      </c>
      <c r="H57" s="85">
        <f t="shared" si="18"/>
        <v>10</v>
      </c>
      <c r="I57" s="85">
        <f t="shared" si="18"/>
        <v>10</v>
      </c>
      <c r="J57" s="85">
        <f t="shared" si="18"/>
        <v>10</v>
      </c>
    </row>
    <row r="58" spans="2:10" outlineLevel="1" x14ac:dyDescent="0.3">
      <c r="B58" s="61" t="s">
        <v>90</v>
      </c>
      <c r="C58" s="64"/>
      <c r="D58" s="64"/>
      <c r="E58" s="65">
        <f>E57*E$52</f>
        <v>2790</v>
      </c>
      <c r="F58" s="65">
        <f t="shared" ref="F58:J58" si="19">F57*F$52</f>
        <v>3013.2</v>
      </c>
      <c r="G58" s="65">
        <f t="shared" si="19"/>
        <v>3254.2560000000003</v>
      </c>
      <c r="H58" s="65">
        <f t="shared" si="19"/>
        <v>3514.5964800000006</v>
      </c>
      <c r="I58" s="65">
        <f t="shared" si="19"/>
        <v>3760.6182336000011</v>
      </c>
      <c r="J58" s="65">
        <f t="shared" si="19"/>
        <v>4023.8615099520011</v>
      </c>
    </row>
    <row r="59" spans="2:10" outlineLevel="1" x14ac:dyDescent="0.3"/>
    <row r="60" spans="2:10" outlineLevel="1" x14ac:dyDescent="0.3">
      <c r="B60" t="s">
        <v>88</v>
      </c>
      <c r="E60" s="84">
        <v>12.5</v>
      </c>
      <c r="F60" s="85">
        <f>E60*(1+F70)</f>
        <v>12.5</v>
      </c>
      <c r="G60" s="85">
        <f t="shared" ref="G60:J60" si="20">F60*(1+G70)</f>
        <v>12.5</v>
      </c>
      <c r="H60" s="85">
        <f t="shared" si="20"/>
        <v>12.5</v>
      </c>
      <c r="I60" s="85">
        <f t="shared" si="20"/>
        <v>12.5</v>
      </c>
      <c r="J60" s="85">
        <f t="shared" si="20"/>
        <v>12.5</v>
      </c>
    </row>
    <row r="61" spans="2:10" outlineLevel="1" x14ac:dyDescent="0.3">
      <c r="B61" s="61" t="s">
        <v>91</v>
      </c>
      <c r="C61" s="64"/>
      <c r="D61" s="64"/>
      <c r="E61" s="65">
        <f>E60*E$52</f>
        <v>3487.5</v>
      </c>
      <c r="F61" s="65">
        <f t="shared" ref="F61:J61" si="21">F60*F$52</f>
        <v>3766.5</v>
      </c>
      <c r="G61" s="65">
        <f t="shared" si="21"/>
        <v>4067.8200000000006</v>
      </c>
      <c r="H61" s="65">
        <f t="shared" si="21"/>
        <v>4393.2456000000011</v>
      </c>
      <c r="I61" s="65">
        <f t="shared" si="21"/>
        <v>4700.7727920000016</v>
      </c>
      <c r="J61" s="65">
        <f t="shared" si="21"/>
        <v>5029.8268874400019</v>
      </c>
    </row>
    <row r="62" spans="2:10" outlineLevel="1" x14ac:dyDescent="0.3"/>
    <row r="63" spans="2:10" outlineLevel="1" x14ac:dyDescent="0.3">
      <c r="B63" t="s">
        <v>89</v>
      </c>
      <c r="E63" s="84">
        <v>8</v>
      </c>
      <c r="F63" s="85">
        <f>E63*(1+F71)</f>
        <v>8</v>
      </c>
      <c r="G63" s="85">
        <f t="shared" ref="G63:J63" si="22">F63*(1+G71)</f>
        <v>8</v>
      </c>
      <c r="H63" s="85">
        <f t="shared" si="22"/>
        <v>8</v>
      </c>
      <c r="I63" s="85">
        <f t="shared" si="22"/>
        <v>8</v>
      </c>
      <c r="J63" s="85">
        <f t="shared" si="22"/>
        <v>8</v>
      </c>
    </row>
    <row r="64" spans="2:10" outlineLevel="1" x14ac:dyDescent="0.3">
      <c r="B64" s="61" t="s">
        <v>92</v>
      </c>
      <c r="C64" s="64"/>
      <c r="D64" s="64"/>
      <c r="E64" s="65">
        <f>E63*E$52</f>
        <v>2232</v>
      </c>
      <c r="F64" s="65">
        <f t="shared" ref="F64:J64" si="23">F63*F$52</f>
        <v>2410.56</v>
      </c>
      <c r="G64" s="65">
        <f t="shared" si="23"/>
        <v>2603.4048000000003</v>
      </c>
      <c r="H64" s="65">
        <f t="shared" si="23"/>
        <v>2811.6771840000006</v>
      </c>
      <c r="I64" s="65">
        <f t="shared" si="23"/>
        <v>3008.494586880001</v>
      </c>
      <c r="J64" s="65">
        <f t="shared" si="23"/>
        <v>3219.089207961601</v>
      </c>
    </row>
    <row r="65" spans="2:10" outlineLevel="1" x14ac:dyDescent="0.3"/>
    <row r="66" spans="2:10" ht="15" outlineLevel="1" thickBot="1" x14ac:dyDescent="0.35">
      <c r="B66" s="82" t="s">
        <v>93</v>
      </c>
      <c r="C66" s="82"/>
      <c r="D66" s="82"/>
      <c r="E66" s="86">
        <f>E64+E61+E58+E55</f>
        <v>16182</v>
      </c>
      <c r="F66" s="86">
        <f t="shared" ref="F66:J66" si="24">F64+F61+F58+F55</f>
        <v>17476.559999999998</v>
      </c>
      <c r="G66" s="86">
        <f t="shared" si="24"/>
        <v>18874.684800000003</v>
      </c>
      <c r="H66" s="86">
        <f t="shared" si="24"/>
        <v>20384.659584000005</v>
      </c>
      <c r="I66" s="86">
        <f t="shared" si="24"/>
        <v>21811.585754880005</v>
      </c>
      <c r="J66" s="86">
        <f t="shared" si="24"/>
        <v>23338.396757721606</v>
      </c>
    </row>
    <row r="67" spans="2:10" outlineLevel="1" x14ac:dyDescent="0.3">
      <c r="B67" s="59"/>
      <c r="C67" s="59"/>
      <c r="D67" s="59"/>
      <c r="E67" s="59"/>
      <c r="F67" s="59"/>
      <c r="G67" s="59"/>
      <c r="H67" s="59"/>
      <c r="I67" s="59"/>
      <c r="J67" s="59"/>
    </row>
    <row r="68" spans="2:10" outlineLevel="1" x14ac:dyDescent="0.3">
      <c r="B68" s="55" t="s">
        <v>101</v>
      </c>
      <c r="C68" s="54"/>
      <c r="D68" s="54"/>
      <c r="E68" s="54"/>
      <c r="F68" s="68">
        <f>ControlSheet!G63</f>
        <v>0</v>
      </c>
      <c r="G68" s="68">
        <f>ControlSheet!H63</f>
        <v>0</v>
      </c>
      <c r="H68" s="68">
        <f>ControlSheet!I63</f>
        <v>0</v>
      </c>
      <c r="I68" s="68">
        <f>ControlSheet!J63</f>
        <v>0</v>
      </c>
      <c r="J68" s="68">
        <f>ControlSheet!K63</f>
        <v>0</v>
      </c>
    </row>
    <row r="69" spans="2:10" outlineLevel="1" x14ac:dyDescent="0.3">
      <c r="B69" s="55" t="s">
        <v>102</v>
      </c>
      <c r="C69" s="54"/>
      <c r="D69" s="54"/>
      <c r="E69" s="54"/>
      <c r="F69" s="68">
        <f>ControlSheet!G69</f>
        <v>0</v>
      </c>
      <c r="G69" s="68">
        <f>ControlSheet!H69</f>
        <v>0</v>
      </c>
      <c r="H69" s="68">
        <f>ControlSheet!I69</f>
        <v>0</v>
      </c>
      <c r="I69" s="68">
        <f>ControlSheet!J69</f>
        <v>0</v>
      </c>
      <c r="J69" s="68">
        <f>ControlSheet!K69</f>
        <v>0</v>
      </c>
    </row>
    <row r="70" spans="2:10" outlineLevel="1" x14ac:dyDescent="0.3">
      <c r="B70" s="55" t="s">
        <v>103</v>
      </c>
      <c r="C70" s="54"/>
      <c r="D70" s="54"/>
      <c r="E70" s="54"/>
      <c r="F70" s="68">
        <f>ControlSheet!G75</f>
        <v>0</v>
      </c>
      <c r="G70" s="68">
        <f>ControlSheet!H75</f>
        <v>0</v>
      </c>
      <c r="H70" s="68">
        <f>ControlSheet!I75</f>
        <v>0</v>
      </c>
      <c r="I70" s="68">
        <f>ControlSheet!J75</f>
        <v>0</v>
      </c>
      <c r="J70" s="68">
        <f>ControlSheet!K75</f>
        <v>0</v>
      </c>
    </row>
    <row r="71" spans="2:10" outlineLevel="1" x14ac:dyDescent="0.3">
      <c r="B71" s="55" t="s">
        <v>104</v>
      </c>
      <c r="C71" s="54"/>
      <c r="D71" s="54"/>
      <c r="E71" s="54"/>
      <c r="F71" s="68">
        <f>ControlSheet!G81</f>
        <v>0</v>
      </c>
      <c r="G71" s="68">
        <f>ControlSheet!H81</f>
        <v>0</v>
      </c>
      <c r="H71" s="68">
        <f>ControlSheet!I81</f>
        <v>0</v>
      </c>
      <c r="I71" s="68">
        <f>ControlSheet!J81</f>
        <v>0</v>
      </c>
      <c r="J71" s="68">
        <f>ControlSheet!K81</f>
        <v>0</v>
      </c>
    </row>
    <row r="72" spans="2:10" outlineLevel="1" x14ac:dyDescent="0.3">
      <c r="B72" s="55" t="s">
        <v>105</v>
      </c>
      <c r="C72" s="54"/>
      <c r="D72" s="54"/>
      <c r="E72" s="88">
        <f>E66/E17</f>
        <v>0.38666666666666666</v>
      </c>
      <c r="F72" s="88">
        <f t="shared" ref="F72:J72" si="25">F66/F17</f>
        <v>0.3754045307443365</v>
      </c>
      <c r="G72" s="88">
        <f t="shared" si="25"/>
        <v>0.36447041819838505</v>
      </c>
      <c r="H72" s="88">
        <f t="shared" si="25"/>
        <v>0.35385477494988837</v>
      </c>
      <c r="I72" s="88">
        <f t="shared" si="25"/>
        <v>0.34354832519406631</v>
      </c>
      <c r="J72" s="88">
        <f t="shared" si="25"/>
        <v>0.33354206329521002</v>
      </c>
    </row>
    <row r="73" spans="2:10" outlineLevel="1" x14ac:dyDescent="0.3">
      <c r="B73" s="54" t="s">
        <v>106</v>
      </c>
      <c r="C73" s="54"/>
      <c r="D73" s="54"/>
      <c r="E73" s="87">
        <f>100%-E72</f>
        <v>0.61333333333333329</v>
      </c>
      <c r="F73" s="87">
        <f t="shared" ref="F73:J73" si="26">100%-F72</f>
        <v>0.62459546925566345</v>
      </c>
      <c r="G73" s="87">
        <f t="shared" si="26"/>
        <v>0.6355295818016149</v>
      </c>
      <c r="H73" s="87">
        <f t="shared" si="26"/>
        <v>0.64614522505011163</v>
      </c>
      <c r="I73" s="87">
        <f t="shared" si="26"/>
        <v>0.65645167480593369</v>
      </c>
      <c r="J73" s="87">
        <f t="shared" si="26"/>
        <v>0.66645793670479003</v>
      </c>
    </row>
    <row r="74" spans="2:10" outlineLevel="1" x14ac:dyDescent="0.3"/>
    <row r="75" spans="2:10" ht="18" outlineLevel="1" x14ac:dyDescent="0.35">
      <c r="B75" s="62" t="s">
        <v>61</v>
      </c>
      <c r="C75" s="63"/>
      <c r="D75" s="63"/>
      <c r="E75" s="63"/>
      <c r="F75" s="63"/>
      <c r="G75" s="63"/>
      <c r="H75" s="63"/>
      <c r="I75" s="63"/>
      <c r="J75" s="63"/>
    </row>
    <row r="76" spans="2:10" outlineLevel="1" x14ac:dyDescent="0.3">
      <c r="B76" s="60"/>
    </row>
    <row r="77" spans="2:10" outlineLevel="1" x14ac:dyDescent="0.3">
      <c r="B77" s="78" t="s">
        <v>94</v>
      </c>
      <c r="C77" s="78"/>
      <c r="D77" s="78"/>
      <c r="E77" s="80">
        <f>E26</f>
        <v>217</v>
      </c>
      <c r="F77" s="80">
        <f t="shared" ref="F77:J77" si="27">F26</f>
        <v>232.19000000000003</v>
      </c>
      <c r="G77" s="80">
        <f t="shared" si="27"/>
        <v>248.44330000000005</v>
      </c>
      <c r="H77" s="80">
        <f t="shared" si="27"/>
        <v>265.83433100000008</v>
      </c>
      <c r="I77" s="80">
        <f t="shared" si="27"/>
        <v>279.12604755000007</v>
      </c>
      <c r="J77" s="80">
        <f t="shared" si="27"/>
        <v>293.0823499275001</v>
      </c>
    </row>
    <row r="78" spans="2:10" outlineLevel="1" x14ac:dyDescent="0.3">
      <c r="B78" s="59"/>
    </row>
    <row r="79" spans="2:10" outlineLevel="1" x14ac:dyDescent="0.3">
      <c r="B79" t="s">
        <v>95</v>
      </c>
      <c r="E79" s="84">
        <v>7.5</v>
      </c>
      <c r="F79" s="85">
        <f>E79*(1+F93)</f>
        <v>7.5</v>
      </c>
      <c r="G79" s="85">
        <f t="shared" ref="G79:J79" si="28">F79*(1+G93)</f>
        <v>7.5</v>
      </c>
      <c r="H79" s="85">
        <f t="shared" si="28"/>
        <v>7.5</v>
      </c>
      <c r="I79" s="85">
        <f t="shared" si="28"/>
        <v>7.5</v>
      </c>
      <c r="J79" s="85">
        <f t="shared" si="28"/>
        <v>7.5</v>
      </c>
    </row>
    <row r="80" spans="2:10" outlineLevel="1" x14ac:dyDescent="0.3">
      <c r="B80" s="61" t="s">
        <v>86</v>
      </c>
      <c r="C80" s="64"/>
      <c r="D80" s="64"/>
      <c r="E80" s="89">
        <f>E79*E77</f>
        <v>1627.5</v>
      </c>
      <c r="F80" s="89">
        <f t="shared" ref="F80:J80" si="29">F79*F77</f>
        <v>1741.4250000000002</v>
      </c>
      <c r="G80" s="89">
        <f t="shared" si="29"/>
        <v>1863.3247500000004</v>
      </c>
      <c r="H80" s="89">
        <f t="shared" si="29"/>
        <v>1993.7574825000006</v>
      </c>
      <c r="I80" s="89">
        <f t="shared" si="29"/>
        <v>2093.4453566250004</v>
      </c>
      <c r="J80" s="89">
        <f t="shared" si="29"/>
        <v>2198.1176244562507</v>
      </c>
    </row>
    <row r="81" spans="2:11" outlineLevel="1" x14ac:dyDescent="0.3"/>
    <row r="82" spans="2:11" outlineLevel="1" x14ac:dyDescent="0.3">
      <c r="B82" t="s">
        <v>96</v>
      </c>
      <c r="E82" s="84">
        <v>2.5</v>
      </c>
      <c r="F82" s="85">
        <f>E82*(1+F94)</f>
        <v>2.5</v>
      </c>
      <c r="G82" s="85">
        <f t="shared" ref="G82:J82" si="30">F82*(1+G94)</f>
        <v>2.5</v>
      </c>
      <c r="H82" s="85">
        <f t="shared" si="30"/>
        <v>2.5</v>
      </c>
      <c r="I82" s="85">
        <f t="shared" si="30"/>
        <v>2.5</v>
      </c>
      <c r="J82" s="85">
        <f t="shared" si="30"/>
        <v>2.5</v>
      </c>
    </row>
    <row r="83" spans="2:11" outlineLevel="1" x14ac:dyDescent="0.3">
      <c r="B83" s="61" t="s">
        <v>90</v>
      </c>
      <c r="C83" s="64"/>
      <c r="D83" s="64"/>
      <c r="E83" s="89">
        <f>E82*E77</f>
        <v>542.5</v>
      </c>
      <c r="F83" s="89">
        <f t="shared" ref="F83:J83" si="31">F82*F77</f>
        <v>580.47500000000002</v>
      </c>
      <c r="G83" s="89">
        <f t="shared" si="31"/>
        <v>621.10825000000011</v>
      </c>
      <c r="H83" s="89">
        <f t="shared" si="31"/>
        <v>664.58582750000016</v>
      </c>
      <c r="I83" s="89">
        <f t="shared" si="31"/>
        <v>697.81511887500017</v>
      </c>
      <c r="J83" s="89">
        <f t="shared" si="31"/>
        <v>732.70587481875032</v>
      </c>
    </row>
    <row r="84" spans="2:11" outlineLevel="1" x14ac:dyDescent="0.3"/>
    <row r="85" spans="2:11" outlineLevel="1" x14ac:dyDescent="0.3">
      <c r="B85" t="s">
        <v>97</v>
      </c>
      <c r="E85" s="84">
        <v>20</v>
      </c>
      <c r="F85" s="85">
        <f>E85*(1+F95)</f>
        <v>20</v>
      </c>
      <c r="G85" s="85">
        <f t="shared" ref="G85:J85" si="32">F85*(1+G95)</f>
        <v>20</v>
      </c>
      <c r="H85" s="85">
        <f t="shared" si="32"/>
        <v>20</v>
      </c>
      <c r="I85" s="85">
        <f t="shared" si="32"/>
        <v>20</v>
      </c>
      <c r="J85" s="85">
        <f t="shared" si="32"/>
        <v>20</v>
      </c>
    </row>
    <row r="86" spans="2:11" outlineLevel="1" x14ac:dyDescent="0.3">
      <c r="B86" s="61" t="s">
        <v>91</v>
      </c>
      <c r="C86" s="64"/>
      <c r="D86" s="64"/>
      <c r="E86" s="89">
        <f>E85*E77</f>
        <v>4340</v>
      </c>
      <c r="F86" s="89">
        <f t="shared" ref="F86:J86" si="33">F85*F77</f>
        <v>4643.8</v>
      </c>
      <c r="G86" s="89">
        <f t="shared" si="33"/>
        <v>4968.8660000000009</v>
      </c>
      <c r="H86" s="89">
        <f t="shared" si="33"/>
        <v>5316.6866200000013</v>
      </c>
      <c r="I86" s="89">
        <f t="shared" si="33"/>
        <v>5582.5209510000013</v>
      </c>
      <c r="J86" s="89">
        <f t="shared" si="33"/>
        <v>5861.6469985500025</v>
      </c>
    </row>
    <row r="87" spans="2:11" outlineLevel="1" x14ac:dyDescent="0.3"/>
    <row r="88" spans="2:11" outlineLevel="1" x14ac:dyDescent="0.3">
      <c r="B88" t="s">
        <v>98</v>
      </c>
      <c r="E88" s="84">
        <v>5</v>
      </c>
      <c r="F88" s="85">
        <f>E88*(1+F96)</f>
        <v>5</v>
      </c>
      <c r="G88" s="85">
        <f t="shared" ref="G88:J88" si="34">F88*(1+G96)</f>
        <v>5</v>
      </c>
      <c r="H88" s="85">
        <f t="shared" si="34"/>
        <v>5</v>
      </c>
      <c r="I88" s="85">
        <f t="shared" si="34"/>
        <v>5</v>
      </c>
      <c r="J88" s="85">
        <f t="shared" si="34"/>
        <v>5</v>
      </c>
    </row>
    <row r="89" spans="2:11" outlineLevel="1" x14ac:dyDescent="0.3">
      <c r="B89" s="61" t="s">
        <v>92</v>
      </c>
      <c r="C89" s="64"/>
      <c r="D89" s="64"/>
      <c r="E89" s="89">
        <f>E88*E77</f>
        <v>1085</v>
      </c>
      <c r="F89" s="89">
        <f t="shared" ref="F89:J89" si="35">F88*F77</f>
        <v>1160.95</v>
      </c>
      <c r="G89" s="89">
        <f t="shared" si="35"/>
        <v>1242.2165000000002</v>
      </c>
      <c r="H89" s="89">
        <f t="shared" si="35"/>
        <v>1329.1716550000003</v>
      </c>
      <c r="I89" s="89">
        <f t="shared" si="35"/>
        <v>1395.6302377500003</v>
      </c>
      <c r="J89" s="89">
        <f t="shared" si="35"/>
        <v>1465.4117496375006</v>
      </c>
      <c r="K89" s="90"/>
    </row>
    <row r="90" spans="2:11" outlineLevel="1" x14ac:dyDescent="0.3"/>
    <row r="91" spans="2:11" ht="15" outlineLevel="1" thickBot="1" x14ac:dyDescent="0.35">
      <c r="B91" s="82" t="s">
        <v>99</v>
      </c>
      <c r="C91" s="82"/>
      <c r="D91" s="82"/>
      <c r="E91" s="91">
        <f>E89+E86+E83+E80</f>
        <v>7595</v>
      </c>
      <c r="F91" s="91">
        <f t="shared" ref="F91:J91" si="36">F89+F86+F83+F80</f>
        <v>8126.6500000000005</v>
      </c>
      <c r="G91" s="91">
        <f t="shared" si="36"/>
        <v>8695.5155000000013</v>
      </c>
      <c r="H91" s="91">
        <f>H89+H86+H83+H80</f>
        <v>9304.2015850000025</v>
      </c>
      <c r="I91" s="91">
        <f t="shared" si="36"/>
        <v>9769.4116642500012</v>
      </c>
      <c r="J91" s="91">
        <f t="shared" si="36"/>
        <v>10257.882247462503</v>
      </c>
    </row>
    <row r="92" spans="2:11" outlineLevel="1" x14ac:dyDescent="0.3">
      <c r="B92" s="59"/>
      <c r="C92" s="59"/>
      <c r="D92" s="59"/>
      <c r="E92" s="59"/>
      <c r="F92" s="59"/>
      <c r="G92" s="59"/>
      <c r="H92" s="59"/>
      <c r="I92" s="59"/>
      <c r="J92" s="59"/>
    </row>
    <row r="93" spans="2:11" outlineLevel="1" x14ac:dyDescent="0.3">
      <c r="B93" s="55" t="s">
        <v>101</v>
      </c>
      <c r="C93" s="54"/>
      <c r="D93" s="54"/>
      <c r="E93" s="54"/>
      <c r="F93" s="68">
        <f>ControlSheet!G90</f>
        <v>0</v>
      </c>
      <c r="G93" s="68">
        <f>ControlSheet!H90</f>
        <v>0</v>
      </c>
      <c r="H93" s="68">
        <f>ControlSheet!I90</f>
        <v>0</v>
      </c>
      <c r="I93" s="68">
        <f>ControlSheet!J90</f>
        <v>0</v>
      </c>
      <c r="J93" s="68">
        <f>ControlSheet!K90</f>
        <v>0</v>
      </c>
    </row>
    <row r="94" spans="2:11" outlineLevel="1" x14ac:dyDescent="0.3">
      <c r="B94" s="55" t="s">
        <v>102</v>
      </c>
      <c r="C94" s="54"/>
      <c r="D94" s="54"/>
      <c r="E94" s="54"/>
      <c r="F94" s="68">
        <f>ControlSheet!G96</f>
        <v>0</v>
      </c>
      <c r="G94" s="68">
        <f>ControlSheet!H96</f>
        <v>0</v>
      </c>
      <c r="H94" s="68">
        <f>ControlSheet!I96</f>
        <v>0</v>
      </c>
      <c r="I94" s="68">
        <f>ControlSheet!J96</f>
        <v>0</v>
      </c>
      <c r="J94" s="68">
        <f>ControlSheet!K96</f>
        <v>0</v>
      </c>
    </row>
    <row r="95" spans="2:11" outlineLevel="1" x14ac:dyDescent="0.3">
      <c r="B95" s="55" t="s">
        <v>103</v>
      </c>
      <c r="C95" s="54"/>
      <c r="D95" s="54"/>
      <c r="E95" s="54"/>
      <c r="F95" s="68">
        <f>ControlSheet!G102</f>
        <v>0</v>
      </c>
      <c r="G95" s="68">
        <f>ControlSheet!H102</f>
        <v>0</v>
      </c>
      <c r="H95" s="68">
        <f>ControlSheet!I102</f>
        <v>0</v>
      </c>
      <c r="I95" s="68">
        <f>ControlSheet!J102</f>
        <v>0</v>
      </c>
      <c r="J95" s="68">
        <f>ControlSheet!K102</f>
        <v>0</v>
      </c>
    </row>
    <row r="96" spans="2:11" outlineLevel="1" x14ac:dyDescent="0.3">
      <c r="B96" s="55" t="s">
        <v>104</v>
      </c>
      <c r="C96" s="54"/>
      <c r="D96" s="54"/>
      <c r="E96" s="54"/>
      <c r="F96" s="68">
        <f>ControlSheet!G108</f>
        <v>0</v>
      </c>
      <c r="G96" s="68">
        <f>ControlSheet!H108</f>
        <v>0</v>
      </c>
      <c r="H96" s="68">
        <f>ControlSheet!I108</f>
        <v>0</v>
      </c>
      <c r="I96" s="68">
        <f>ControlSheet!J108</f>
        <v>0</v>
      </c>
      <c r="J96" s="68">
        <f>ControlSheet!K108</f>
        <v>0</v>
      </c>
    </row>
    <row r="97" spans="2:10" outlineLevel="1" x14ac:dyDescent="0.3">
      <c r="B97" s="55" t="s">
        <v>105</v>
      </c>
      <c r="C97" s="54"/>
      <c r="D97" s="54"/>
      <c r="E97" s="88">
        <f>E91/E27</f>
        <v>0.7</v>
      </c>
      <c r="F97" s="88">
        <f t="shared" ref="F97:J97" si="37">F91/F27</f>
        <v>0.68627450980392157</v>
      </c>
      <c r="G97" s="88">
        <f t="shared" si="37"/>
        <v>0.67281814686658969</v>
      </c>
      <c r="H97" s="88">
        <f t="shared" si="37"/>
        <v>0.65962563418293108</v>
      </c>
      <c r="I97" s="88">
        <f t="shared" si="37"/>
        <v>0.64669179821855982</v>
      </c>
      <c r="J97" s="88">
        <f t="shared" si="37"/>
        <v>0.63401156688094107</v>
      </c>
    </row>
    <row r="98" spans="2:10" outlineLevel="1" x14ac:dyDescent="0.3">
      <c r="B98" s="54" t="s">
        <v>106</v>
      </c>
      <c r="C98" s="54"/>
      <c r="D98" s="54"/>
      <c r="E98" s="87">
        <f>100%-E97</f>
        <v>0.30000000000000004</v>
      </c>
      <c r="F98" s="87">
        <f t="shared" ref="F98" si="38">100%-F97</f>
        <v>0.31372549019607843</v>
      </c>
      <c r="G98" s="87">
        <f t="shared" ref="G98" si="39">100%-G97</f>
        <v>0.32718185313341031</v>
      </c>
      <c r="H98" s="87">
        <f t="shared" ref="H98" si="40">100%-H97</f>
        <v>0.34037436581706892</v>
      </c>
      <c r="I98" s="87">
        <f t="shared" ref="I98" si="41">100%-I97</f>
        <v>0.35330820178144018</v>
      </c>
      <c r="J98" s="87">
        <f t="shared" ref="J98" si="42">100%-J97</f>
        <v>0.36598843311905893</v>
      </c>
    </row>
    <row r="99" spans="2:10" outlineLevel="1" x14ac:dyDescent="0.3"/>
    <row r="100" spans="2:10" ht="18" outlineLevel="1" x14ac:dyDescent="0.35">
      <c r="B100" s="62" t="s">
        <v>62</v>
      </c>
      <c r="C100" s="63"/>
      <c r="D100" s="63"/>
      <c r="E100" s="63"/>
      <c r="F100" s="63"/>
      <c r="G100" s="63"/>
      <c r="H100" s="63"/>
      <c r="I100" s="63"/>
      <c r="J100" s="63"/>
    </row>
    <row r="101" spans="2:10" outlineLevel="1" x14ac:dyDescent="0.3">
      <c r="B101" s="60"/>
    </row>
    <row r="102" spans="2:10" outlineLevel="1" x14ac:dyDescent="0.3">
      <c r="B102" s="78" t="s">
        <v>94</v>
      </c>
      <c r="C102" s="78"/>
      <c r="D102" s="78"/>
      <c r="E102" s="80">
        <f>E36</f>
        <v>177</v>
      </c>
      <c r="F102" s="80">
        <f t="shared" ref="F102:J102" si="43">F36</f>
        <v>185.85</v>
      </c>
      <c r="G102" s="80">
        <f t="shared" si="43"/>
        <v>195.14250000000001</v>
      </c>
      <c r="H102" s="80">
        <f t="shared" si="43"/>
        <v>200.99677500000001</v>
      </c>
      <c r="I102" s="80">
        <f t="shared" si="43"/>
        <v>207.02667825000003</v>
      </c>
      <c r="J102" s="80">
        <f t="shared" si="43"/>
        <v>213.23747859750003</v>
      </c>
    </row>
    <row r="103" spans="2:10" outlineLevel="1" x14ac:dyDescent="0.3">
      <c r="B103" s="59"/>
    </row>
    <row r="104" spans="2:10" outlineLevel="1" x14ac:dyDescent="0.3">
      <c r="B104" t="s">
        <v>95</v>
      </c>
      <c r="E104" s="84">
        <v>5</v>
      </c>
      <c r="F104" s="85">
        <f>E104*(1+F120)</f>
        <v>5</v>
      </c>
      <c r="G104" s="85">
        <f t="shared" ref="G104:J104" si="44">F104*(1+G120)</f>
        <v>5</v>
      </c>
      <c r="H104" s="85">
        <f t="shared" si="44"/>
        <v>5</v>
      </c>
      <c r="I104" s="85">
        <f t="shared" si="44"/>
        <v>5</v>
      </c>
      <c r="J104" s="85">
        <f t="shared" si="44"/>
        <v>5</v>
      </c>
    </row>
    <row r="105" spans="2:10" outlineLevel="1" x14ac:dyDescent="0.3">
      <c r="B105" s="61" t="s">
        <v>86</v>
      </c>
      <c r="C105" s="64"/>
      <c r="D105" s="64"/>
      <c r="E105" s="65">
        <f>E104*E102</f>
        <v>885</v>
      </c>
      <c r="F105" s="65">
        <f t="shared" ref="F105:J105" si="45">F104*F102</f>
        <v>929.25</v>
      </c>
      <c r="G105" s="65">
        <f t="shared" si="45"/>
        <v>975.71250000000009</v>
      </c>
      <c r="H105" s="65">
        <f t="shared" si="45"/>
        <v>1004.9838750000001</v>
      </c>
      <c r="I105" s="65">
        <f t="shared" si="45"/>
        <v>1035.1333912500002</v>
      </c>
      <c r="J105" s="65">
        <f t="shared" si="45"/>
        <v>1066.1873929875001</v>
      </c>
    </row>
    <row r="106" spans="2:10" outlineLevel="1" x14ac:dyDescent="0.3"/>
    <row r="107" spans="2:10" outlineLevel="1" x14ac:dyDescent="0.3">
      <c r="B107" t="s">
        <v>96</v>
      </c>
      <c r="E107" s="84">
        <v>2.5</v>
      </c>
      <c r="F107" s="85">
        <f>E107*(1+F121)</f>
        <v>2.5</v>
      </c>
      <c r="G107" s="85">
        <f t="shared" ref="G107:J107" si="46">F107*(1+G121)</f>
        <v>2.5</v>
      </c>
      <c r="H107" s="85">
        <f t="shared" si="46"/>
        <v>2.5</v>
      </c>
      <c r="I107" s="85">
        <f t="shared" si="46"/>
        <v>2.5</v>
      </c>
      <c r="J107" s="85">
        <f t="shared" si="46"/>
        <v>2.5</v>
      </c>
    </row>
    <row r="108" spans="2:10" outlineLevel="1" x14ac:dyDescent="0.3">
      <c r="B108" s="61" t="s">
        <v>90</v>
      </c>
      <c r="C108" s="64"/>
      <c r="D108" s="64"/>
      <c r="E108" s="65">
        <f>E107*E102</f>
        <v>442.5</v>
      </c>
      <c r="F108" s="65">
        <f t="shared" ref="F108:J108" si="47">F107*F102</f>
        <v>464.625</v>
      </c>
      <c r="G108" s="65">
        <f t="shared" si="47"/>
        <v>487.85625000000005</v>
      </c>
      <c r="H108" s="65">
        <f t="shared" si="47"/>
        <v>502.49193750000006</v>
      </c>
      <c r="I108" s="65">
        <f t="shared" si="47"/>
        <v>517.56669562500008</v>
      </c>
      <c r="J108" s="65">
        <f t="shared" si="47"/>
        <v>533.09369649375003</v>
      </c>
    </row>
    <row r="109" spans="2:10" outlineLevel="1" x14ac:dyDescent="0.3"/>
    <row r="110" spans="2:10" outlineLevel="1" x14ac:dyDescent="0.3">
      <c r="B110" t="s">
        <v>97</v>
      </c>
      <c r="E110" s="84">
        <v>2.5</v>
      </c>
      <c r="F110" s="85">
        <f>E110*(1+F122)</f>
        <v>2.5</v>
      </c>
      <c r="G110" s="85">
        <f t="shared" ref="G110:J110" si="48">F110*(1+G122)</f>
        <v>2.5</v>
      </c>
      <c r="H110" s="85">
        <f t="shared" si="48"/>
        <v>2.5</v>
      </c>
      <c r="I110" s="85">
        <f t="shared" si="48"/>
        <v>2.5</v>
      </c>
      <c r="J110" s="85">
        <f t="shared" si="48"/>
        <v>2.5</v>
      </c>
    </row>
    <row r="111" spans="2:10" outlineLevel="1" x14ac:dyDescent="0.3">
      <c r="B111" s="61" t="s">
        <v>91</v>
      </c>
      <c r="C111" s="64"/>
      <c r="D111" s="64"/>
      <c r="E111" s="65">
        <f>E110*E102</f>
        <v>442.5</v>
      </c>
      <c r="F111" s="65">
        <f t="shared" ref="F111:J111" si="49">F110*F102</f>
        <v>464.625</v>
      </c>
      <c r="G111" s="65">
        <f t="shared" si="49"/>
        <v>487.85625000000005</v>
      </c>
      <c r="H111" s="65">
        <f t="shared" si="49"/>
        <v>502.49193750000006</v>
      </c>
      <c r="I111" s="65">
        <f t="shared" si="49"/>
        <v>517.56669562500008</v>
      </c>
      <c r="J111" s="65">
        <f t="shared" si="49"/>
        <v>533.09369649375003</v>
      </c>
    </row>
    <row r="112" spans="2:10" outlineLevel="1" x14ac:dyDescent="0.3"/>
    <row r="113" spans="2:10" outlineLevel="1" x14ac:dyDescent="0.3">
      <c r="B113" t="s">
        <v>98</v>
      </c>
      <c r="E113" s="132">
        <v>10</v>
      </c>
      <c r="F113" s="90">
        <f>E113*(1+F123)</f>
        <v>10</v>
      </c>
      <c r="G113" s="90">
        <f t="shared" ref="G113:J113" si="50">F113*(1+G123)</f>
        <v>10</v>
      </c>
      <c r="H113" s="90">
        <f t="shared" si="50"/>
        <v>10</v>
      </c>
      <c r="I113" s="90">
        <f t="shared" si="50"/>
        <v>10</v>
      </c>
      <c r="J113" s="90">
        <f t="shared" si="50"/>
        <v>10</v>
      </c>
    </row>
    <row r="114" spans="2:10" outlineLevel="1" x14ac:dyDescent="0.3">
      <c r="B114" s="61" t="s">
        <v>92</v>
      </c>
      <c r="C114" s="64"/>
      <c r="D114" s="64"/>
      <c r="E114" s="89">
        <f>E113*E102</f>
        <v>1770</v>
      </c>
      <c r="F114" s="89">
        <f t="shared" ref="F114:J114" si="51">F113*F102</f>
        <v>1858.5</v>
      </c>
      <c r="G114" s="89">
        <f t="shared" si="51"/>
        <v>1951.4250000000002</v>
      </c>
      <c r="H114" s="89">
        <f t="shared" si="51"/>
        <v>2009.9677500000003</v>
      </c>
      <c r="I114" s="89">
        <f t="shared" si="51"/>
        <v>2070.2667825000003</v>
      </c>
      <c r="J114" s="89">
        <f t="shared" si="51"/>
        <v>2132.3747859750001</v>
      </c>
    </row>
    <row r="115" spans="2:10" outlineLevel="1" x14ac:dyDescent="0.3">
      <c r="B115" s="59"/>
      <c r="E115" s="90"/>
      <c r="F115" s="90"/>
      <c r="G115" s="90"/>
      <c r="H115" s="90"/>
      <c r="I115" s="90"/>
      <c r="J115" s="90"/>
    </row>
    <row r="116" spans="2:10" outlineLevel="1" x14ac:dyDescent="0.3">
      <c r="B116" s="61" t="s">
        <v>107</v>
      </c>
      <c r="C116" s="64" t="s">
        <v>46</v>
      </c>
      <c r="D116" s="64"/>
      <c r="E116" s="89">
        <f>E37*E124</f>
        <v>796.5</v>
      </c>
      <c r="F116" s="89">
        <f t="shared" ref="F116:J116" si="52">F37*F124</f>
        <v>844.68825000000004</v>
      </c>
      <c r="G116" s="89">
        <f t="shared" si="52"/>
        <v>895.79188912500013</v>
      </c>
      <c r="H116" s="89">
        <f t="shared" si="52"/>
        <v>931.89230225673759</v>
      </c>
      <c r="I116" s="89">
        <f t="shared" si="52"/>
        <v>969.44756203768418</v>
      </c>
      <c r="J116" s="89">
        <f t="shared" si="52"/>
        <v>1008.516298787803</v>
      </c>
    </row>
    <row r="117" spans="2:10" outlineLevel="1" x14ac:dyDescent="0.3"/>
    <row r="118" spans="2:10" ht="15" outlineLevel="1" thickBot="1" x14ac:dyDescent="0.35">
      <c r="B118" s="82" t="s">
        <v>100</v>
      </c>
      <c r="C118" s="82"/>
      <c r="D118" s="82"/>
      <c r="E118" s="91">
        <f>E116+E114+E111+E108+E105</f>
        <v>4336.5</v>
      </c>
      <c r="F118" s="91">
        <f t="shared" ref="F118:J118" si="53">F116+F114+F111+F108+F105</f>
        <v>4561.6882500000002</v>
      </c>
      <c r="G118" s="91">
        <f t="shared" si="53"/>
        <v>4798.6418891249996</v>
      </c>
      <c r="H118" s="91">
        <f t="shared" si="53"/>
        <v>4951.8278022567374</v>
      </c>
      <c r="I118" s="91">
        <f t="shared" si="53"/>
        <v>5109.9811270376849</v>
      </c>
      <c r="J118" s="91">
        <f t="shared" si="53"/>
        <v>5273.2658707378032</v>
      </c>
    </row>
    <row r="119" spans="2:10" outlineLevel="1" x14ac:dyDescent="0.3"/>
    <row r="120" spans="2:10" outlineLevel="1" x14ac:dyDescent="0.3">
      <c r="B120" s="55" t="s">
        <v>101</v>
      </c>
      <c r="C120" s="54"/>
      <c r="D120" s="54"/>
      <c r="E120" s="54"/>
      <c r="F120" s="68">
        <f>ControlSheet!G116</f>
        <v>0</v>
      </c>
      <c r="G120" s="68">
        <f>ControlSheet!H116</f>
        <v>0</v>
      </c>
      <c r="H120" s="68">
        <f>ControlSheet!I116</f>
        <v>0</v>
      </c>
      <c r="I120" s="68">
        <f>ControlSheet!J116</f>
        <v>0</v>
      </c>
      <c r="J120" s="68">
        <f>ControlSheet!K116</f>
        <v>0</v>
      </c>
    </row>
    <row r="121" spans="2:10" outlineLevel="1" x14ac:dyDescent="0.3">
      <c r="B121" s="55" t="s">
        <v>102</v>
      </c>
      <c r="C121" s="54"/>
      <c r="D121" s="54"/>
      <c r="E121" s="54"/>
      <c r="F121" s="68">
        <f>ControlSheet!G122</f>
        <v>0</v>
      </c>
      <c r="G121" s="68">
        <f>ControlSheet!H122</f>
        <v>0</v>
      </c>
      <c r="H121" s="68">
        <f>ControlSheet!I122</f>
        <v>0</v>
      </c>
      <c r="I121" s="68">
        <f>ControlSheet!J122</f>
        <v>0</v>
      </c>
      <c r="J121" s="68">
        <f>ControlSheet!K122</f>
        <v>0</v>
      </c>
    </row>
    <row r="122" spans="2:10" outlineLevel="1" x14ac:dyDescent="0.3">
      <c r="B122" s="55" t="s">
        <v>103</v>
      </c>
      <c r="C122" s="54"/>
      <c r="D122" s="54"/>
      <c r="E122" s="54"/>
      <c r="F122" s="68">
        <f>ControlSheet!G128</f>
        <v>0</v>
      </c>
      <c r="G122" s="68">
        <f>ControlSheet!H128</f>
        <v>0</v>
      </c>
      <c r="H122" s="68">
        <f>ControlSheet!I128</f>
        <v>0</v>
      </c>
      <c r="I122" s="68">
        <f>ControlSheet!J128</f>
        <v>0</v>
      </c>
      <c r="J122" s="68">
        <f>ControlSheet!K128</f>
        <v>0</v>
      </c>
    </row>
    <row r="123" spans="2:10" outlineLevel="1" x14ac:dyDescent="0.3">
      <c r="B123" s="55" t="s">
        <v>104</v>
      </c>
      <c r="C123" s="54"/>
      <c r="D123" s="54"/>
      <c r="E123" s="54"/>
      <c r="F123" s="68">
        <f>ControlSheet!G134</f>
        <v>0</v>
      </c>
      <c r="G123" s="68">
        <f>ControlSheet!H134</f>
        <v>0</v>
      </c>
      <c r="H123" s="68">
        <f>ControlSheet!I134</f>
        <v>0</v>
      </c>
      <c r="I123" s="68">
        <f>ControlSheet!J134</f>
        <v>0</v>
      </c>
      <c r="J123" s="68">
        <f>ControlSheet!K134</f>
        <v>0</v>
      </c>
    </row>
    <row r="124" spans="2:10" outlineLevel="1" x14ac:dyDescent="0.3">
      <c r="B124" s="55" t="s">
        <v>108</v>
      </c>
      <c r="C124" s="54"/>
      <c r="D124" s="54"/>
      <c r="E124" s="92">
        <v>0.15</v>
      </c>
      <c r="F124" s="68">
        <f>ControlSheet!G140</f>
        <v>0.15</v>
      </c>
      <c r="G124" s="68">
        <f>ControlSheet!H140</f>
        <v>0.15</v>
      </c>
      <c r="H124" s="68">
        <f>ControlSheet!I140</f>
        <v>0.15</v>
      </c>
      <c r="I124" s="68">
        <f>ControlSheet!J140</f>
        <v>0.15</v>
      </c>
      <c r="J124" s="68">
        <f>ControlSheet!K140</f>
        <v>0.15</v>
      </c>
    </row>
    <row r="125" spans="2:10" outlineLevel="1" x14ac:dyDescent="0.3">
      <c r="B125" s="55" t="s">
        <v>105</v>
      </c>
      <c r="C125" s="54"/>
      <c r="D125" s="54"/>
      <c r="E125" s="88">
        <f>E118/E37</f>
        <v>0.81666666666666665</v>
      </c>
      <c r="F125" s="88">
        <f t="shared" ref="F125:J125" si="54">F118/F37</f>
        <v>0.81006600660066008</v>
      </c>
      <c r="G125" s="88">
        <f t="shared" si="54"/>
        <v>0.80353069960461376</v>
      </c>
      <c r="H125" s="88">
        <f t="shared" si="54"/>
        <v>0.79706009861842952</v>
      </c>
      <c r="I125" s="88">
        <f t="shared" si="54"/>
        <v>0.79065356298854417</v>
      </c>
      <c r="J125" s="88">
        <f t="shared" si="54"/>
        <v>0.78431045840449898</v>
      </c>
    </row>
    <row r="126" spans="2:10" outlineLevel="1" x14ac:dyDescent="0.3">
      <c r="B126" s="54" t="s">
        <v>106</v>
      </c>
      <c r="C126" s="54"/>
      <c r="D126" s="54"/>
      <c r="E126" s="87">
        <f>100%-E125</f>
        <v>0.18333333333333335</v>
      </c>
      <c r="F126" s="87">
        <f t="shared" ref="F126" si="55">100%-F125</f>
        <v>0.18993399339933992</v>
      </c>
      <c r="G126" s="87">
        <f t="shared" ref="G126" si="56">100%-G125</f>
        <v>0.19646930039538624</v>
      </c>
      <c r="H126" s="87">
        <f t="shared" ref="H126" si="57">100%-H125</f>
        <v>0.20293990138157048</v>
      </c>
      <c r="I126" s="87">
        <f t="shared" ref="I126" si="58">100%-I125</f>
        <v>0.20934643701145583</v>
      </c>
      <c r="J126" s="87">
        <f t="shared" ref="J126" si="59">100%-J125</f>
        <v>0.21568954159550102</v>
      </c>
    </row>
    <row r="127" spans="2:10" outlineLevel="1" x14ac:dyDescent="0.3"/>
    <row r="128" spans="2:10" ht="15" outlineLevel="1" thickBot="1" x14ac:dyDescent="0.35">
      <c r="B128" s="82" t="s">
        <v>195</v>
      </c>
      <c r="C128" s="128"/>
      <c r="D128" s="128"/>
      <c r="E128" s="129">
        <f>E66+E91+E118</f>
        <v>28113.5</v>
      </c>
      <c r="F128" s="129">
        <f>F66+F91+F118</f>
        <v>30164.898249999998</v>
      </c>
      <c r="G128" s="129">
        <f t="shared" ref="G128:J128" si="60">G66+G91+G118</f>
        <v>32368.842189125004</v>
      </c>
      <c r="H128" s="129">
        <f t="shared" si="60"/>
        <v>34640.688971256743</v>
      </c>
      <c r="I128" s="129">
        <f t="shared" si="60"/>
        <v>36690.978546167695</v>
      </c>
      <c r="J128" s="129">
        <f t="shared" si="60"/>
        <v>38869.544875921914</v>
      </c>
    </row>
    <row r="129" spans="1:10" outlineLevel="1" x14ac:dyDescent="0.3">
      <c r="B129" s="59" t="s">
        <v>196</v>
      </c>
      <c r="E129" s="108">
        <f>E128/E44</f>
        <v>0.48463196000689535</v>
      </c>
      <c r="F129" s="108">
        <f t="shared" ref="F129:J129" si="61">F128/F44</f>
        <v>0.47112862432710878</v>
      </c>
      <c r="G129" s="108">
        <f t="shared" si="61"/>
        <v>0.45794659889720934</v>
      </c>
      <c r="H129" s="108">
        <f t="shared" si="61"/>
        <v>0.44453707949429194</v>
      </c>
      <c r="I129" s="108">
        <f t="shared" si="61"/>
        <v>0.43135982365207998</v>
      </c>
      <c r="J129" s="108">
        <f t="shared" si="61"/>
        <v>0.41851846021112299</v>
      </c>
    </row>
    <row r="130" spans="1:10" outlineLevel="1" x14ac:dyDescent="0.3">
      <c r="B130" s="59" t="s">
        <v>198</v>
      </c>
      <c r="E130" s="130">
        <f>1-E129</f>
        <v>0.51536803999310465</v>
      </c>
      <c r="F130" s="130">
        <f t="shared" ref="F130:J130" si="62">1-F129</f>
        <v>0.52887137567289122</v>
      </c>
      <c r="G130" s="130">
        <f t="shared" si="62"/>
        <v>0.54205340110279066</v>
      </c>
      <c r="H130" s="130">
        <f t="shared" si="62"/>
        <v>0.555462920505708</v>
      </c>
      <c r="I130" s="130">
        <f t="shared" si="62"/>
        <v>0.56864017634792008</v>
      </c>
      <c r="J130" s="130">
        <f t="shared" si="62"/>
        <v>0.58148153978887707</v>
      </c>
    </row>
    <row r="132" spans="1:10" ht="18" x14ac:dyDescent="0.35">
      <c r="A132" t="s">
        <v>52</v>
      </c>
      <c r="B132" s="76" t="s">
        <v>120</v>
      </c>
      <c r="C132" s="48"/>
      <c r="D132" s="48"/>
      <c r="E132" s="48"/>
      <c r="F132" s="48"/>
      <c r="G132" s="48"/>
      <c r="H132" s="48"/>
      <c r="I132" s="48"/>
      <c r="J132" s="48"/>
    </row>
    <row r="133" spans="1:10" outlineLevel="1" x14ac:dyDescent="0.3"/>
    <row r="134" spans="1:10" ht="15.6" outlineLevel="1" x14ac:dyDescent="0.3">
      <c r="B134" s="93" t="s">
        <v>121</v>
      </c>
      <c r="C134" s="93"/>
      <c r="D134" s="93"/>
      <c r="E134" s="93"/>
      <c r="F134" s="93"/>
      <c r="G134" s="93"/>
      <c r="H134" s="93"/>
      <c r="I134" s="93"/>
      <c r="J134" s="93"/>
    </row>
    <row r="135" spans="1:10" outlineLevel="1" x14ac:dyDescent="0.3">
      <c r="B135" t="s">
        <v>122</v>
      </c>
      <c r="E135" s="141">
        <v>980</v>
      </c>
      <c r="F135" s="90">
        <f>E135*(1+F139)</f>
        <v>980</v>
      </c>
      <c r="G135" s="90">
        <f t="shared" ref="G135:J135" si="63">F135*(1+G139)</f>
        <v>980</v>
      </c>
      <c r="H135" s="90">
        <f t="shared" si="63"/>
        <v>980</v>
      </c>
      <c r="I135" s="90">
        <f t="shared" si="63"/>
        <v>980</v>
      </c>
      <c r="J135" s="90">
        <f t="shared" si="63"/>
        <v>980</v>
      </c>
    </row>
    <row r="136" spans="1:10" outlineLevel="1" x14ac:dyDescent="0.3">
      <c r="B136" t="s">
        <v>123</v>
      </c>
      <c r="E136" s="141">
        <v>294</v>
      </c>
      <c r="F136" s="90">
        <f>E136*(1+F140)</f>
        <v>294</v>
      </c>
      <c r="G136" s="90">
        <f t="shared" ref="G136:J136" si="64">F136*(1+G140)</f>
        <v>294</v>
      </c>
      <c r="H136" s="90">
        <f t="shared" si="64"/>
        <v>294</v>
      </c>
      <c r="I136" s="90">
        <f t="shared" si="64"/>
        <v>294</v>
      </c>
      <c r="J136" s="90">
        <f t="shared" si="64"/>
        <v>294</v>
      </c>
    </row>
    <row r="137" spans="1:10" outlineLevel="1" x14ac:dyDescent="0.3">
      <c r="B137" s="96" t="s">
        <v>124</v>
      </c>
      <c r="C137" s="95"/>
      <c r="D137" s="95"/>
      <c r="E137" s="66">
        <f>E136+E135</f>
        <v>1274</v>
      </c>
      <c r="F137" s="66">
        <f t="shared" ref="F137:J137" si="65">F136+F135</f>
        <v>1274</v>
      </c>
      <c r="G137" s="66">
        <f t="shared" si="65"/>
        <v>1274</v>
      </c>
      <c r="H137" s="66">
        <f t="shared" si="65"/>
        <v>1274</v>
      </c>
      <c r="I137" s="66">
        <f t="shared" si="65"/>
        <v>1274</v>
      </c>
      <c r="J137" s="66">
        <f t="shared" si="65"/>
        <v>1274</v>
      </c>
    </row>
    <row r="138" spans="1:10" outlineLevel="1" x14ac:dyDescent="0.3"/>
    <row r="139" spans="1:10" outlineLevel="1" x14ac:dyDescent="0.3">
      <c r="B139" s="55" t="s">
        <v>125</v>
      </c>
      <c r="C139" s="55"/>
      <c r="D139" s="55"/>
      <c r="E139" s="55"/>
      <c r="F139" s="68">
        <f>ControlSheet!G150</f>
        <v>0</v>
      </c>
      <c r="G139" s="68">
        <f>ControlSheet!H150</f>
        <v>0</v>
      </c>
      <c r="H139" s="68">
        <f>ControlSheet!I150</f>
        <v>0</v>
      </c>
      <c r="I139" s="68">
        <f>ControlSheet!J150</f>
        <v>0</v>
      </c>
      <c r="J139" s="68">
        <f>ControlSheet!K150</f>
        <v>0</v>
      </c>
    </row>
    <row r="140" spans="1:10" outlineLevel="1" x14ac:dyDescent="0.3">
      <c r="B140" s="55" t="s">
        <v>126</v>
      </c>
      <c r="C140" s="55"/>
      <c r="D140" s="55"/>
      <c r="E140" s="55"/>
      <c r="F140" s="69">
        <f>ControlSheet!G156</f>
        <v>0</v>
      </c>
      <c r="G140" s="69">
        <f>ControlSheet!H156</f>
        <v>0</v>
      </c>
      <c r="H140" s="69">
        <f>ControlSheet!I156</f>
        <v>0</v>
      </c>
      <c r="I140" s="69">
        <f>ControlSheet!J156</f>
        <v>0</v>
      </c>
      <c r="J140" s="69">
        <f>ControlSheet!K156</f>
        <v>0</v>
      </c>
    </row>
    <row r="141" spans="1:10" outlineLevel="1" x14ac:dyDescent="0.3">
      <c r="B141" s="55" t="s">
        <v>127</v>
      </c>
      <c r="C141" s="55"/>
      <c r="D141" s="55"/>
      <c r="E141" s="55"/>
      <c r="F141" s="67">
        <f>F137/E137-1</f>
        <v>0</v>
      </c>
      <c r="G141" s="67">
        <f t="shared" ref="G141:J141" si="66">G137/F137-1</f>
        <v>0</v>
      </c>
      <c r="H141" s="67">
        <f t="shared" si="66"/>
        <v>0</v>
      </c>
      <c r="I141" s="67">
        <f t="shared" si="66"/>
        <v>0</v>
      </c>
      <c r="J141" s="67">
        <f t="shared" si="66"/>
        <v>0</v>
      </c>
    </row>
    <row r="142" spans="1:10" outlineLevel="1" x14ac:dyDescent="0.3">
      <c r="B142" s="55" t="s">
        <v>128</v>
      </c>
      <c r="C142" s="55"/>
      <c r="D142" s="55"/>
      <c r="E142" s="97">
        <f t="shared" ref="E142:J142" si="67">E137/E44</f>
        <v>2.1961730736079987E-2</v>
      </c>
      <c r="F142" s="97">
        <f t="shared" si="67"/>
        <v>1.9897891331118168E-2</v>
      </c>
      <c r="G142" s="97">
        <f t="shared" si="67"/>
        <v>1.8024245772715906E-2</v>
      </c>
      <c r="H142" s="97">
        <f t="shared" si="67"/>
        <v>1.6348988894119607E-2</v>
      </c>
      <c r="I142" s="97">
        <f t="shared" si="67"/>
        <v>1.4977862055144061E-2</v>
      </c>
      <c r="J142" s="97">
        <f t="shared" si="67"/>
        <v>1.3717488074815652E-2</v>
      </c>
    </row>
    <row r="143" spans="1:10" outlineLevel="1" x14ac:dyDescent="0.3"/>
    <row r="144" spans="1:10" ht="15.6" outlineLevel="1" x14ac:dyDescent="0.3">
      <c r="B144" s="98" t="s">
        <v>129</v>
      </c>
      <c r="C144" s="98"/>
      <c r="D144" s="98"/>
      <c r="E144" s="98"/>
      <c r="F144" s="98"/>
      <c r="G144" s="98"/>
      <c r="H144" s="98"/>
      <c r="I144" s="98"/>
      <c r="J144" s="98"/>
    </row>
    <row r="145" spans="2:10" outlineLevel="1" x14ac:dyDescent="0.3"/>
    <row r="146" spans="2:10" outlineLevel="1" x14ac:dyDescent="0.3">
      <c r="B146" t="s">
        <v>130</v>
      </c>
      <c r="C146" s="99" t="s">
        <v>132</v>
      </c>
      <c r="D146" s="101">
        <v>39200</v>
      </c>
      <c r="E146" s="90">
        <f t="shared" ref="E146:J147" si="68">E$44/($D$146+$D$147)*$D146</f>
        <v>41435.71428571429</v>
      </c>
      <c r="F146" s="90">
        <f t="shared" si="68"/>
        <v>45733.489285714291</v>
      </c>
      <c r="G146" s="90">
        <f t="shared" si="68"/>
        <v>50487.549463928583</v>
      </c>
      <c r="H146" s="90">
        <f t="shared" si="68"/>
        <v>55660.934501417905</v>
      </c>
      <c r="I146" s="90">
        <f t="shared" si="68"/>
        <v>60756.334692471399</v>
      </c>
      <c r="J146" s="90">
        <f t="shared" si="68"/>
        <v>66338.676223870498</v>
      </c>
    </row>
    <row r="147" spans="2:10" outlineLevel="1" x14ac:dyDescent="0.3">
      <c r="B147" t="s">
        <v>131</v>
      </c>
      <c r="C147" s="100" t="s">
        <v>132</v>
      </c>
      <c r="D147" s="102">
        <v>15680</v>
      </c>
      <c r="E147" s="90">
        <f t="shared" si="68"/>
        <v>16574.285714285714</v>
      </c>
      <c r="F147" s="90">
        <f t="shared" si="68"/>
        <v>18293.395714285714</v>
      </c>
      <c r="G147" s="90">
        <f t="shared" si="68"/>
        <v>20195.019785571432</v>
      </c>
      <c r="H147" s="90">
        <f t="shared" si="68"/>
        <v>22264.373800567162</v>
      </c>
      <c r="I147" s="90">
        <f t="shared" si="68"/>
        <v>24302.53387698856</v>
      </c>
      <c r="J147" s="90">
        <f t="shared" si="68"/>
        <v>26535.470489548195</v>
      </c>
    </row>
    <row r="148" spans="2:10" outlineLevel="1" x14ac:dyDescent="0.3"/>
    <row r="149" spans="2:10" outlineLevel="1" x14ac:dyDescent="0.3">
      <c r="B149" t="s">
        <v>133</v>
      </c>
      <c r="C149" s="99" t="s">
        <v>135</v>
      </c>
      <c r="D149" s="103">
        <v>0.85</v>
      </c>
      <c r="E149" s="90">
        <f>$E$146/$D$149</f>
        <v>48747.899159663873</v>
      </c>
      <c r="F149" s="90">
        <f t="shared" ref="F149:J149" si="69">$E$146/$D$149</f>
        <v>48747.899159663873</v>
      </c>
      <c r="G149" s="90">
        <f t="shared" si="69"/>
        <v>48747.899159663873</v>
      </c>
      <c r="H149" s="90">
        <f t="shared" si="69"/>
        <v>48747.899159663873</v>
      </c>
      <c r="I149" s="90">
        <f t="shared" si="69"/>
        <v>48747.899159663873</v>
      </c>
      <c r="J149" s="90">
        <f t="shared" si="69"/>
        <v>48747.899159663873</v>
      </c>
    </row>
    <row r="150" spans="2:10" outlineLevel="1" x14ac:dyDescent="0.3">
      <c r="B150" t="s">
        <v>134</v>
      </c>
      <c r="C150" s="100" t="s">
        <v>135</v>
      </c>
      <c r="D150" s="104">
        <v>0.85</v>
      </c>
      <c r="E150" s="90">
        <f>$E$147/$D$150</f>
        <v>19499.159663865546</v>
      </c>
      <c r="F150" s="90">
        <f t="shared" ref="F150:J150" si="70">$E$147/$D$150</f>
        <v>19499.159663865546</v>
      </c>
      <c r="G150" s="90">
        <f t="shared" si="70"/>
        <v>19499.159663865546</v>
      </c>
      <c r="H150" s="90">
        <f t="shared" si="70"/>
        <v>19499.159663865546</v>
      </c>
      <c r="I150" s="90">
        <f t="shared" si="70"/>
        <v>19499.159663865546</v>
      </c>
      <c r="J150" s="90">
        <f t="shared" si="70"/>
        <v>19499.159663865546</v>
      </c>
    </row>
    <row r="151" spans="2:10" outlineLevel="1" x14ac:dyDescent="0.3"/>
    <row r="152" spans="2:10" outlineLevel="1" x14ac:dyDescent="0.3">
      <c r="B152" t="s">
        <v>136</v>
      </c>
      <c r="E152" s="105" t="str">
        <f>IF(E149-E146&gt;0,"Yes","No")</f>
        <v>Yes</v>
      </c>
      <c r="F152" s="105" t="str">
        <f t="shared" ref="F152:J152" si="71">IF(F149-F146&gt;0,"Yes","No")</f>
        <v>Yes</v>
      </c>
      <c r="G152" s="105" t="str">
        <f t="shared" si="71"/>
        <v>No</v>
      </c>
      <c r="H152" s="105" t="str">
        <f t="shared" si="71"/>
        <v>No</v>
      </c>
      <c r="I152" s="105" t="str">
        <f t="shared" si="71"/>
        <v>No</v>
      </c>
      <c r="J152" s="105" t="str">
        <f t="shared" si="71"/>
        <v>No</v>
      </c>
    </row>
    <row r="153" spans="2:10" outlineLevel="1" x14ac:dyDescent="0.3">
      <c r="B153" t="s">
        <v>137</v>
      </c>
      <c r="E153" s="105" t="str">
        <f>IF(E150-E147&gt;0,"Yes","No")</f>
        <v>Yes</v>
      </c>
      <c r="F153" s="105" t="str">
        <f t="shared" ref="F153:J153" si="72">IF(F150-F147&gt;0,"Yes","No")</f>
        <v>Yes</v>
      </c>
      <c r="G153" s="105" t="str">
        <f t="shared" si="72"/>
        <v>No</v>
      </c>
      <c r="H153" s="105" t="str">
        <f t="shared" si="72"/>
        <v>No</v>
      </c>
      <c r="I153" s="105" t="str">
        <f t="shared" si="72"/>
        <v>No</v>
      </c>
      <c r="J153" s="105" t="str">
        <f t="shared" si="72"/>
        <v>No</v>
      </c>
    </row>
    <row r="154" spans="2:10" outlineLevel="1" x14ac:dyDescent="0.3"/>
    <row r="155" spans="2:10" outlineLevel="1" x14ac:dyDescent="0.3">
      <c r="B155" t="s">
        <v>138</v>
      </c>
      <c r="C155" s="106" t="s">
        <v>132</v>
      </c>
      <c r="D155" s="107">
        <v>16000</v>
      </c>
      <c r="E155" s="90">
        <f>IF(OR(E152="no",E153="no"),E136/$D$147*$D$155,0)</f>
        <v>0</v>
      </c>
      <c r="F155" s="90">
        <f t="shared" ref="F155:J155" si="73">IF(OR(F152="no",F153="no"),F136/$D$147*$D$155,0)</f>
        <v>0</v>
      </c>
      <c r="G155" s="90">
        <f t="shared" si="73"/>
        <v>300</v>
      </c>
      <c r="H155" s="90">
        <f t="shared" si="73"/>
        <v>300</v>
      </c>
      <c r="I155" s="90">
        <f t="shared" si="73"/>
        <v>300</v>
      </c>
      <c r="J155" s="90">
        <f t="shared" si="73"/>
        <v>300</v>
      </c>
    </row>
    <row r="156" spans="2:10" outlineLevel="1" x14ac:dyDescent="0.3">
      <c r="B156" t="s">
        <v>139</v>
      </c>
      <c r="E156" s="108">
        <f t="shared" ref="E156:J156" si="74">E155/E44</f>
        <v>0</v>
      </c>
      <c r="F156" s="108">
        <f t="shared" si="74"/>
        <v>0</v>
      </c>
      <c r="G156" s="108">
        <f t="shared" si="74"/>
        <v>4.2443278899644997E-3</v>
      </c>
      <c r="H156" s="108">
        <f t="shared" si="74"/>
        <v>3.8498403989292635E-3</v>
      </c>
      <c r="I156" s="108">
        <f t="shared" si="74"/>
        <v>3.5269690867686171E-3</v>
      </c>
      <c r="J156" s="108">
        <f t="shared" si="74"/>
        <v>3.2301777256237797E-3</v>
      </c>
    </row>
    <row r="157" spans="2:10" outlineLevel="1" x14ac:dyDescent="0.3"/>
    <row r="158" spans="2:10" ht="15" outlineLevel="1" thickBot="1" x14ac:dyDescent="0.35">
      <c r="B158" s="109" t="s">
        <v>140</v>
      </c>
      <c r="C158" s="109"/>
      <c r="D158" s="109"/>
      <c r="E158" s="110">
        <f>E155+E137</f>
        <v>1274</v>
      </c>
      <c r="F158" s="110">
        <f t="shared" ref="F158:J158" si="75">F155+F137</f>
        <v>1274</v>
      </c>
      <c r="G158" s="110">
        <f t="shared" si="75"/>
        <v>1574</v>
      </c>
      <c r="H158" s="110">
        <f t="shared" si="75"/>
        <v>1574</v>
      </c>
      <c r="I158" s="110">
        <f t="shared" si="75"/>
        <v>1574</v>
      </c>
      <c r="J158" s="110">
        <f t="shared" si="75"/>
        <v>1574</v>
      </c>
    </row>
    <row r="159" spans="2:10" ht="15" outlineLevel="1" thickTop="1" x14ac:dyDescent="0.3"/>
    <row r="160" spans="2:10" ht="15.6" outlineLevel="1" x14ac:dyDescent="0.3">
      <c r="B160" s="93" t="s">
        <v>114</v>
      </c>
      <c r="C160" s="50"/>
      <c r="D160" s="50"/>
      <c r="E160" s="50"/>
      <c r="F160" s="50"/>
      <c r="G160" s="50"/>
      <c r="H160" s="50"/>
      <c r="I160" s="50"/>
      <c r="J160" s="50"/>
    </row>
    <row r="161" spans="2:10" outlineLevel="1" x14ac:dyDescent="0.3"/>
    <row r="162" spans="2:10" outlineLevel="1" x14ac:dyDescent="0.3">
      <c r="B162" t="s">
        <v>14</v>
      </c>
      <c r="E162" s="60">
        <v>5711</v>
      </c>
      <c r="F162" s="85">
        <f>F44*F163</f>
        <v>5762.4196499999998</v>
      </c>
      <c r="G162" s="85">
        <f>G44*G163</f>
        <v>6361.431232455001</v>
      </c>
      <c r="H162" s="85">
        <f>H44*H163</f>
        <v>7013.2777471786549</v>
      </c>
      <c r="I162" s="85">
        <f>I44*I163</f>
        <v>7655.2981712513956</v>
      </c>
      <c r="J162" s="85">
        <f>J44*J163</f>
        <v>8358.6732042076819</v>
      </c>
    </row>
    <row r="163" spans="2:10" outlineLevel="1" x14ac:dyDescent="0.3">
      <c r="B163" s="55" t="s">
        <v>141</v>
      </c>
      <c r="C163" s="55"/>
      <c r="D163" s="55"/>
      <c r="E163" s="97">
        <f>E162/E44</f>
        <v>9.8448543354594034E-2</v>
      </c>
      <c r="F163" s="69">
        <f>ControlSheet!G162</f>
        <v>0.09</v>
      </c>
      <c r="G163" s="69">
        <f>ControlSheet!H162</f>
        <v>0.09</v>
      </c>
      <c r="H163" s="69">
        <f>ControlSheet!I162</f>
        <v>0.09</v>
      </c>
      <c r="I163" s="69">
        <f>ControlSheet!J162</f>
        <v>0.09</v>
      </c>
      <c r="J163" s="69">
        <f>ControlSheet!K162</f>
        <v>0.09</v>
      </c>
    </row>
    <row r="164" spans="2:10" outlineLevel="1" x14ac:dyDescent="0.3"/>
    <row r="165" spans="2:10" ht="15.6" outlineLevel="1" x14ac:dyDescent="0.3">
      <c r="B165" s="93" t="s">
        <v>142</v>
      </c>
      <c r="C165" s="50"/>
      <c r="D165" s="50"/>
      <c r="E165" s="50"/>
      <c r="F165" s="50"/>
      <c r="G165" s="50"/>
      <c r="H165" s="50"/>
      <c r="I165" s="50"/>
      <c r="J165" s="50"/>
    </row>
    <row r="166" spans="2:10" outlineLevel="1" x14ac:dyDescent="0.3"/>
    <row r="167" spans="2:10" outlineLevel="1" x14ac:dyDescent="0.3">
      <c r="B167" t="s">
        <v>142</v>
      </c>
      <c r="E167" s="60">
        <v>8708</v>
      </c>
      <c r="F167" s="85">
        <f>F44*F168</f>
        <v>9604.0327500000003</v>
      </c>
      <c r="G167" s="85">
        <f>G44*G168</f>
        <v>10602.385387425002</v>
      </c>
      <c r="H167" s="85">
        <f>H44*H168</f>
        <v>11688.796245297759</v>
      </c>
      <c r="I167" s="85">
        <f>I44*I168</f>
        <v>13609.418971113593</v>
      </c>
      <c r="J167" s="85">
        <f>J44*J168</f>
        <v>14859.863474146989</v>
      </c>
    </row>
    <row r="168" spans="2:10" outlineLevel="1" x14ac:dyDescent="0.3">
      <c r="B168" s="55" t="s">
        <v>145</v>
      </c>
      <c r="C168" s="55"/>
      <c r="D168" s="55"/>
      <c r="E168" s="97">
        <f>E167/E44</f>
        <v>0.15011204964661265</v>
      </c>
      <c r="F168" s="69">
        <f>ControlSheet!G168</f>
        <v>0.15</v>
      </c>
      <c r="G168" s="69">
        <f>ControlSheet!H168</f>
        <v>0.15</v>
      </c>
      <c r="H168" s="69">
        <f>ControlSheet!I168</f>
        <v>0.15</v>
      </c>
      <c r="I168" s="69">
        <f>ControlSheet!J168</f>
        <v>0.16</v>
      </c>
      <c r="J168" s="69">
        <f>ControlSheet!K168</f>
        <v>0.16</v>
      </c>
    </row>
    <row r="169" spans="2:10" outlineLevel="1" x14ac:dyDescent="0.3"/>
    <row r="170" spans="2:10" ht="15.6" outlineLevel="1" x14ac:dyDescent="0.3">
      <c r="B170" s="93" t="s">
        <v>143</v>
      </c>
      <c r="C170" s="50"/>
      <c r="D170" s="50"/>
      <c r="E170" s="50"/>
      <c r="F170" s="50"/>
      <c r="G170" s="50"/>
      <c r="H170" s="50"/>
      <c r="I170" s="50"/>
      <c r="J170" s="50"/>
    </row>
    <row r="171" spans="2:10" outlineLevel="1" x14ac:dyDescent="0.3"/>
    <row r="172" spans="2:10" outlineLevel="1" x14ac:dyDescent="0.3">
      <c r="B172" t="s">
        <v>143</v>
      </c>
      <c r="E172" s="60">
        <v>348</v>
      </c>
      <c r="F172" s="85">
        <f>F44*F173</f>
        <v>640.26885000000004</v>
      </c>
      <c r="G172" s="85">
        <f>G44*G173</f>
        <v>706.82569249500011</v>
      </c>
      <c r="H172" s="85">
        <f>H44*H173</f>
        <v>779.25308301985058</v>
      </c>
      <c r="I172" s="85">
        <f>I44*I173</f>
        <v>850.58868569459958</v>
      </c>
      <c r="J172" s="85">
        <f>J44*J173</f>
        <v>928.74146713418679</v>
      </c>
    </row>
    <row r="173" spans="2:10" outlineLevel="1" x14ac:dyDescent="0.3">
      <c r="B173" s="55" t="s">
        <v>146</v>
      </c>
      <c r="C173" s="55"/>
      <c r="D173" s="55"/>
      <c r="E173" s="97">
        <f>E172/E44</f>
        <v>5.9989656955697296E-3</v>
      </c>
      <c r="F173" s="69">
        <f>ControlSheet!G174</f>
        <v>0.01</v>
      </c>
      <c r="G173" s="69">
        <f>ControlSheet!H174</f>
        <v>0.01</v>
      </c>
      <c r="H173" s="69">
        <f>ControlSheet!I174</f>
        <v>0.01</v>
      </c>
      <c r="I173" s="69">
        <f>ControlSheet!J174</f>
        <v>0.01</v>
      </c>
      <c r="J173" s="69">
        <f>ControlSheet!K174</f>
        <v>0.01</v>
      </c>
    </row>
    <row r="174" spans="2:10" outlineLevel="1" x14ac:dyDescent="0.3"/>
    <row r="175" spans="2:10" ht="15.6" outlineLevel="1" x14ac:dyDescent="0.3">
      <c r="B175" s="93" t="s">
        <v>144</v>
      </c>
      <c r="C175" s="50"/>
      <c r="D175" s="50"/>
      <c r="E175" s="50"/>
      <c r="F175" s="50"/>
      <c r="G175" s="50"/>
      <c r="H175" s="50"/>
      <c r="I175" s="50"/>
      <c r="J175" s="50"/>
    </row>
    <row r="176" spans="2:10" outlineLevel="1" x14ac:dyDescent="0.3"/>
    <row r="177" spans="2:10" outlineLevel="1" x14ac:dyDescent="0.3">
      <c r="B177" t="s">
        <v>147</v>
      </c>
      <c r="E177" s="60">
        <v>1451</v>
      </c>
      <c r="F177" s="85">
        <f>F44*F178</f>
        <v>1600.6721250000001</v>
      </c>
      <c r="G177" s="85">
        <f>G44*G178</f>
        <v>1767.0642312375003</v>
      </c>
      <c r="H177" s="85">
        <f>H44*H178</f>
        <v>1948.1327075496265</v>
      </c>
      <c r="I177" s="85">
        <f>I44*I178</f>
        <v>2126.4717142364989</v>
      </c>
      <c r="J177" s="85">
        <f>J44*J178</f>
        <v>2321.8536678354671</v>
      </c>
    </row>
    <row r="178" spans="2:10" outlineLevel="1" x14ac:dyDescent="0.3">
      <c r="B178" s="55" t="s">
        <v>148</v>
      </c>
      <c r="C178" s="55"/>
      <c r="D178" s="55"/>
      <c r="E178" s="97">
        <f>E177/E44</f>
        <v>2.5012928805378382E-2</v>
      </c>
      <c r="F178" s="69">
        <f>ControlSheet!G180</f>
        <v>2.5000000000000001E-2</v>
      </c>
      <c r="G178" s="69">
        <f>ControlSheet!H180</f>
        <v>2.5000000000000001E-2</v>
      </c>
      <c r="H178" s="69">
        <f>ControlSheet!I180</f>
        <v>2.5000000000000001E-2</v>
      </c>
      <c r="I178" s="69">
        <f>ControlSheet!J180</f>
        <v>2.5000000000000001E-2</v>
      </c>
      <c r="J178" s="69">
        <f>ControlSheet!K180</f>
        <v>2.5000000000000001E-2</v>
      </c>
    </row>
    <row r="179" spans="2:10" outlineLevel="1" x14ac:dyDescent="0.3"/>
    <row r="180" spans="2:10" ht="15.6" outlineLevel="1" x14ac:dyDescent="0.3">
      <c r="B180" s="93" t="s">
        <v>149</v>
      </c>
      <c r="C180" s="50"/>
      <c r="D180" s="50"/>
      <c r="E180" s="50"/>
      <c r="F180" s="50"/>
      <c r="G180" s="50"/>
      <c r="H180" s="50"/>
      <c r="I180" s="50"/>
      <c r="J180" s="50"/>
    </row>
    <row r="181" spans="2:10" outlineLevel="1" x14ac:dyDescent="0.3">
      <c r="B181" t="s">
        <v>150</v>
      </c>
      <c r="E181" s="60">
        <v>1470</v>
      </c>
      <c r="F181" s="71">
        <f>E181*(1+F185)</f>
        <v>1499.4</v>
      </c>
      <c r="G181" s="71">
        <f t="shared" ref="G181:J181" si="76">F181*(1+G185)</f>
        <v>1529.3880000000001</v>
      </c>
      <c r="H181" s="71">
        <f t="shared" si="76"/>
        <v>1559.9757600000003</v>
      </c>
      <c r="I181" s="71">
        <f t="shared" si="76"/>
        <v>1591.1752752000002</v>
      </c>
      <c r="J181" s="71">
        <f t="shared" si="76"/>
        <v>1622.9987807040002</v>
      </c>
    </row>
    <row r="182" spans="2:10" outlineLevel="1" x14ac:dyDescent="0.3">
      <c r="B182" t="s">
        <v>151</v>
      </c>
      <c r="E182" s="90">
        <f>E183-E181</f>
        <v>1432.7795999999998</v>
      </c>
      <c r="F182" s="90">
        <f>F44*F186</f>
        <v>1920.80655</v>
      </c>
      <c r="G182" s="90">
        <f>G44*G186</f>
        <v>2120.4770774850003</v>
      </c>
      <c r="H182" s="90">
        <f>H44*H186</f>
        <v>2337.7592490595516</v>
      </c>
      <c r="I182" s="90">
        <f>I44*I186</f>
        <v>2551.7660570837984</v>
      </c>
      <c r="J182" s="90">
        <f>J44*J186</f>
        <v>2786.2244014025605</v>
      </c>
    </row>
    <row r="183" spans="2:10" outlineLevel="1" x14ac:dyDescent="0.3">
      <c r="B183" s="61" t="s">
        <v>155</v>
      </c>
      <c r="C183" s="61"/>
      <c r="D183" s="61"/>
      <c r="E183" s="111">
        <f>-' Income Statement'!G16</f>
        <v>2902.7795999999998</v>
      </c>
      <c r="F183" s="66">
        <f>F181+F182</f>
        <v>3420.2065499999999</v>
      </c>
      <c r="G183" s="66">
        <f t="shared" ref="G183:J183" si="77">G181+G182</f>
        <v>3649.8650774850003</v>
      </c>
      <c r="H183" s="66">
        <f t="shared" si="77"/>
        <v>3897.7350090595519</v>
      </c>
      <c r="I183" s="66">
        <f t="shared" si="77"/>
        <v>4142.9413322837991</v>
      </c>
      <c r="J183" s="66">
        <f t="shared" si="77"/>
        <v>4409.2231821065607</v>
      </c>
    </row>
    <row r="184" spans="2:10" outlineLevel="1" x14ac:dyDescent="0.3"/>
    <row r="185" spans="2:10" outlineLevel="1" x14ac:dyDescent="0.3">
      <c r="B185" s="55" t="s">
        <v>152</v>
      </c>
      <c r="C185" s="55"/>
      <c r="D185" s="55"/>
      <c r="E185" s="97"/>
      <c r="F185" s="69">
        <f>ControlSheet!G188</f>
        <v>0.02</v>
      </c>
      <c r="G185" s="69">
        <f>ControlSheet!H188</f>
        <v>0.02</v>
      </c>
      <c r="H185" s="69">
        <f>ControlSheet!I188</f>
        <v>0.02</v>
      </c>
      <c r="I185" s="69">
        <f>ControlSheet!J188</f>
        <v>0.02</v>
      </c>
      <c r="J185" s="69">
        <f>ControlSheet!K188</f>
        <v>0.02</v>
      </c>
    </row>
    <row r="186" spans="2:10" outlineLevel="1" x14ac:dyDescent="0.3">
      <c r="B186" s="55" t="s">
        <v>153</v>
      </c>
      <c r="C186" s="55"/>
      <c r="D186" s="55"/>
      <c r="E186" s="97">
        <f>E182/E44</f>
        <v>2.4698838131356659E-2</v>
      </c>
      <c r="F186" s="69">
        <f>ControlSheet!G194</f>
        <v>0.03</v>
      </c>
      <c r="G186" s="69">
        <f>ControlSheet!H194</f>
        <v>0.03</v>
      </c>
      <c r="H186" s="69">
        <f>ControlSheet!I194</f>
        <v>0.03</v>
      </c>
      <c r="I186" s="69">
        <f>ControlSheet!J194</f>
        <v>0.03</v>
      </c>
      <c r="J186" s="69">
        <f>ControlSheet!K194</f>
        <v>0.03</v>
      </c>
    </row>
    <row r="187" spans="2:10" outlineLevel="1" x14ac:dyDescent="0.3">
      <c r="B187" s="55" t="s">
        <v>154</v>
      </c>
      <c r="C187" s="55"/>
      <c r="D187" s="55"/>
      <c r="E187" s="97">
        <f t="shared" ref="E187:J187" si="78">E183/E44</f>
        <v>5.0039296672987413E-2</v>
      </c>
      <c r="F187" s="97">
        <f t="shared" si="78"/>
        <v>5.3418287489700615E-2</v>
      </c>
      <c r="G187" s="97">
        <f t="shared" si="78"/>
        <v>5.163741380992342E-2</v>
      </c>
      <c r="H187" s="97">
        <f t="shared" si="78"/>
        <v>5.0018859007327936E-2</v>
      </c>
      <c r="I187" s="97">
        <f t="shared" si="78"/>
        <v>4.8706753357536492E-2</v>
      </c>
      <c r="J187" s="97">
        <f t="shared" si="78"/>
        <v>4.7475248367148719E-2</v>
      </c>
    </row>
    <row r="188" spans="2:10" outlineLevel="1" x14ac:dyDescent="0.3"/>
    <row r="189" spans="2:10" ht="15" outlineLevel="1" thickBot="1" x14ac:dyDescent="0.35">
      <c r="B189" s="82" t="s">
        <v>197</v>
      </c>
      <c r="C189" s="82"/>
      <c r="D189" s="82"/>
      <c r="E189" s="91">
        <f>E183+E177+E172+E167+E162+E158</f>
        <v>20394.779600000002</v>
      </c>
      <c r="F189" s="91">
        <f t="shared" ref="F189:J189" si="79">F183+F177+F172+F167+F162+F158</f>
        <v>22301.599925000002</v>
      </c>
      <c r="G189" s="91">
        <f t="shared" si="79"/>
        <v>24661.571621097504</v>
      </c>
      <c r="H189" s="91">
        <f t="shared" si="79"/>
        <v>26901.194792105442</v>
      </c>
      <c r="I189" s="91">
        <f t="shared" si="79"/>
        <v>29958.718874579885</v>
      </c>
      <c r="J189" s="91">
        <f t="shared" si="79"/>
        <v>32452.354995430884</v>
      </c>
    </row>
    <row r="190" spans="2:10" outlineLevel="1" x14ac:dyDescent="0.3">
      <c r="B190" s="55" t="s">
        <v>157</v>
      </c>
      <c r="C190" s="55"/>
      <c r="D190" s="55"/>
      <c r="E190" s="97">
        <f t="shared" ref="E190:J190" si="80">E189/E44</f>
        <v>0.35157351491122224</v>
      </c>
      <c r="F190" s="97">
        <f t="shared" si="80"/>
        <v>0.34831617882081883</v>
      </c>
      <c r="G190" s="97">
        <f t="shared" si="80"/>
        <v>0.34890598747260382</v>
      </c>
      <c r="H190" s="97">
        <f t="shared" si="80"/>
        <v>0.3452176883003768</v>
      </c>
      <c r="I190" s="97">
        <f t="shared" si="80"/>
        <v>0.35221158449944917</v>
      </c>
      <c r="J190" s="97">
        <f t="shared" si="80"/>
        <v>0.34942291416758814</v>
      </c>
    </row>
    <row r="191" spans="2:10" outlineLevel="1" x14ac:dyDescent="0.3"/>
    <row r="193" spans="1:10" ht="18" x14ac:dyDescent="0.35">
      <c r="A193" t="s">
        <v>52</v>
      </c>
      <c r="B193" s="76" t="s">
        <v>174</v>
      </c>
      <c r="C193" s="48"/>
      <c r="D193" s="48"/>
      <c r="E193" s="48"/>
      <c r="F193" s="48"/>
      <c r="G193" s="48"/>
      <c r="H193" s="48"/>
      <c r="I193" s="48"/>
      <c r="J193" s="48"/>
    </row>
    <row r="194" spans="1:10" outlineLevel="1" x14ac:dyDescent="0.3"/>
    <row r="195" spans="1:10" ht="15.6" outlineLevel="1" x14ac:dyDescent="0.3">
      <c r="B195" s="93" t="s">
        <v>175</v>
      </c>
      <c r="C195" s="93"/>
      <c r="D195" s="93"/>
      <c r="E195" s="93"/>
      <c r="F195" s="118"/>
      <c r="G195" s="118"/>
      <c r="H195" s="118"/>
      <c r="I195" s="118"/>
      <c r="J195" s="118"/>
    </row>
    <row r="196" spans="1:10" outlineLevel="1" x14ac:dyDescent="0.3">
      <c r="B196" t="s">
        <v>176</v>
      </c>
      <c r="E196" s="120">
        <f>' Balance Sheet'!G16-' Balance Sheet'!F16-' Income Statement'!G14</f>
        <v>1965.3507999999993</v>
      </c>
      <c r="F196" s="90">
        <f>F$44*F197</f>
        <v>3201.3442500000001</v>
      </c>
      <c r="G196" s="90">
        <f t="shared" ref="G196:J196" si="81">G$44*G197</f>
        <v>3534.1284624750006</v>
      </c>
      <c r="H196" s="90">
        <f t="shared" si="81"/>
        <v>3896.265415099253</v>
      </c>
      <c r="I196" s="90">
        <f t="shared" si="81"/>
        <v>4252.9434284729978</v>
      </c>
      <c r="J196" s="90">
        <f t="shared" si="81"/>
        <v>4643.7073356709343</v>
      </c>
    </row>
    <row r="197" spans="1:10" outlineLevel="1" x14ac:dyDescent="0.3">
      <c r="B197" s="55" t="s">
        <v>177</v>
      </c>
      <c r="C197" s="55"/>
      <c r="D197" s="55"/>
      <c r="E197" s="194">
        <f>E196/E44</f>
        <v>3.3879517324599193E-2</v>
      </c>
      <c r="F197" s="69">
        <f>ControlSheet!G205</f>
        <v>0.05</v>
      </c>
      <c r="G197" s="69">
        <f>ControlSheet!H205</f>
        <v>0.05</v>
      </c>
      <c r="H197" s="69">
        <f>ControlSheet!I205</f>
        <v>0.05</v>
      </c>
      <c r="I197" s="69">
        <f>ControlSheet!J205</f>
        <v>0.05</v>
      </c>
      <c r="J197" s="69">
        <f>ControlSheet!K205</f>
        <v>0.05</v>
      </c>
    </row>
    <row r="198" spans="1:10" outlineLevel="1" x14ac:dyDescent="0.3">
      <c r="B198" s="59"/>
      <c r="E198" s="117"/>
      <c r="F198" s="117"/>
      <c r="G198" s="117"/>
      <c r="H198" s="117"/>
      <c r="I198" s="117"/>
      <c r="J198" s="117"/>
    </row>
    <row r="199" spans="1:10" ht="15.6" outlineLevel="1" x14ac:dyDescent="0.3">
      <c r="B199" s="93" t="s">
        <v>178</v>
      </c>
      <c r="C199" s="93"/>
      <c r="D199" s="93"/>
      <c r="E199" s="93"/>
      <c r="F199" s="93"/>
      <c r="G199" s="93"/>
      <c r="H199" s="93"/>
      <c r="I199" s="93"/>
      <c r="J199" s="93"/>
    </row>
    <row r="200" spans="1:10" outlineLevel="1" x14ac:dyDescent="0.3">
      <c r="B200" t="s">
        <v>179</v>
      </c>
      <c r="E200" s="120">
        <f>' Balance Sheet'!G17-' Balance Sheet'!F17-' Income Statement'!G15</f>
        <v>488.68288000000024</v>
      </c>
      <c r="F200" s="90">
        <f>F$44*F201</f>
        <v>1920.80655</v>
      </c>
      <c r="G200" s="90">
        <f t="shared" ref="G200:J200" si="82">G$44*G201</f>
        <v>2120.4770774850003</v>
      </c>
      <c r="H200" s="90">
        <f t="shared" si="82"/>
        <v>2337.7592490595516</v>
      </c>
      <c r="I200" s="90">
        <f t="shared" si="82"/>
        <v>2551.7660570837984</v>
      </c>
      <c r="J200" s="90">
        <f t="shared" si="82"/>
        <v>2786.2244014025605</v>
      </c>
    </row>
    <row r="201" spans="1:10" outlineLevel="1" x14ac:dyDescent="0.3">
      <c r="B201" s="55" t="s">
        <v>180</v>
      </c>
      <c r="C201" s="55"/>
      <c r="D201" s="55"/>
      <c r="E201" s="185">
        <f>E200/E44</f>
        <v>8.4241144630236211E-3</v>
      </c>
      <c r="F201" s="69">
        <f>ControlSheet!G213</f>
        <v>0.03</v>
      </c>
      <c r="G201" s="69">
        <f>ControlSheet!H213</f>
        <v>0.03</v>
      </c>
      <c r="H201" s="69">
        <f>ControlSheet!I213</f>
        <v>0.03</v>
      </c>
      <c r="I201" s="69">
        <f>ControlSheet!J213</f>
        <v>0.03</v>
      </c>
      <c r="J201" s="69">
        <f>ControlSheet!K213</f>
        <v>0.03</v>
      </c>
    </row>
    <row r="203" spans="1:10" ht="18" x14ac:dyDescent="0.35">
      <c r="A203" t="s">
        <v>52</v>
      </c>
      <c r="B203" s="76" t="s">
        <v>181</v>
      </c>
      <c r="C203" s="48"/>
      <c r="D203" s="48"/>
      <c r="E203" s="48"/>
      <c r="F203" s="48"/>
      <c r="G203" s="48"/>
      <c r="H203" s="48"/>
      <c r="I203" s="48"/>
      <c r="J203" s="48"/>
    </row>
    <row r="204" spans="1:10" outlineLevel="1" x14ac:dyDescent="0.3"/>
    <row r="205" spans="1:10" outlineLevel="1" x14ac:dyDescent="0.3">
      <c r="B205" t="s">
        <v>182</v>
      </c>
      <c r="F205" s="90">
        <f>E208</f>
        <v>9491.2999999999993</v>
      </c>
      <c r="G205" s="90">
        <f t="shared" ref="G205:J205" si="83">F208</f>
        <v>11589.137025</v>
      </c>
      <c r="H205" s="90">
        <f t="shared" si="83"/>
        <v>13666.345416227501</v>
      </c>
      <c r="I205" s="90">
        <f t="shared" si="83"/>
        <v>15716.064218569329</v>
      </c>
      <c r="J205" s="90">
        <f t="shared" si="83"/>
        <v>17697.1666914376</v>
      </c>
    </row>
    <row r="206" spans="1:10" outlineLevel="1" x14ac:dyDescent="0.3">
      <c r="B206" s="119" t="s">
        <v>183</v>
      </c>
      <c r="C206" s="106" t="s">
        <v>190</v>
      </c>
      <c r="D206" s="123">
        <v>10</v>
      </c>
      <c r="F206" s="90">
        <f>F196</f>
        <v>3201.3442500000001</v>
      </c>
      <c r="G206" s="90">
        <f t="shared" ref="G206:J206" si="84">G196</f>
        <v>3534.1284624750006</v>
      </c>
      <c r="H206" s="90">
        <f t="shared" si="84"/>
        <v>3896.265415099253</v>
      </c>
      <c r="I206" s="90">
        <f t="shared" si="84"/>
        <v>4252.9434284729978</v>
      </c>
      <c r="J206" s="90">
        <f t="shared" si="84"/>
        <v>4643.7073356709343</v>
      </c>
    </row>
    <row r="207" spans="1:10" outlineLevel="1" x14ac:dyDescent="0.3">
      <c r="B207" s="119" t="s">
        <v>184</v>
      </c>
      <c r="F207" s="153">
        <f>-F224</f>
        <v>-1103.5072250000001</v>
      </c>
      <c r="G207" s="153">
        <f t="shared" ref="G207:J207" si="85">-G224</f>
        <v>-1456.9200712475001</v>
      </c>
      <c r="H207" s="153">
        <f t="shared" si="85"/>
        <v>-1846.5466127574255</v>
      </c>
      <c r="I207" s="153">
        <f t="shared" si="85"/>
        <v>-2271.8409556047254</v>
      </c>
      <c r="J207" s="153">
        <f t="shared" si="85"/>
        <v>-2736.2116891718188</v>
      </c>
    </row>
    <row r="208" spans="1:10" outlineLevel="1" x14ac:dyDescent="0.3">
      <c r="B208" s="96" t="s">
        <v>185</v>
      </c>
      <c r="C208" s="95"/>
      <c r="D208" s="95"/>
      <c r="E208" s="121">
        <f>' Balance Sheet'!G16</f>
        <v>9491.2999999999993</v>
      </c>
      <c r="F208" s="122">
        <f>SUM(F205:F207)</f>
        <v>11589.137025</v>
      </c>
      <c r="G208" s="122">
        <f t="shared" ref="G208:J208" si="86">SUM(G205:G207)</f>
        <v>13666.345416227501</v>
      </c>
      <c r="H208" s="122">
        <f t="shared" si="86"/>
        <v>15716.064218569329</v>
      </c>
      <c r="I208" s="122">
        <f t="shared" si="86"/>
        <v>17697.1666914376</v>
      </c>
      <c r="J208" s="122">
        <f t="shared" si="86"/>
        <v>19604.662337936716</v>
      </c>
    </row>
    <row r="209" spans="2:11" outlineLevel="1" x14ac:dyDescent="0.3"/>
    <row r="210" spans="2:11" outlineLevel="1" x14ac:dyDescent="0.3">
      <c r="B210" t="s">
        <v>186</v>
      </c>
      <c r="F210" s="90">
        <f>E213</f>
        <v>2854.5636</v>
      </c>
      <c r="G210" s="90">
        <f t="shared" ref="G210:J210" si="87">F213</f>
        <v>4415.0955799999992</v>
      </c>
      <c r="H210" s="90">
        <f t="shared" si="87"/>
        <v>6033.9329489859992</v>
      </c>
      <c r="I210" s="90">
        <f t="shared" si="87"/>
        <v>7714.2018729425818</v>
      </c>
      <c r="J210" s="90">
        <f t="shared" si="87"/>
        <v>9438.3598677844893</v>
      </c>
    </row>
    <row r="211" spans="2:11" outlineLevel="1" x14ac:dyDescent="0.3">
      <c r="B211" s="119" t="s">
        <v>187</v>
      </c>
      <c r="C211" s="106" t="s">
        <v>190</v>
      </c>
      <c r="D211" s="123">
        <v>15</v>
      </c>
      <c r="F211" s="90">
        <f>F200</f>
        <v>1920.80655</v>
      </c>
      <c r="G211" s="90">
        <f t="shared" ref="G211:J211" si="88">G200</f>
        <v>2120.4770774850003</v>
      </c>
      <c r="H211" s="90">
        <f t="shared" si="88"/>
        <v>2337.7592490595516</v>
      </c>
      <c r="I211" s="90">
        <f t="shared" si="88"/>
        <v>2551.7660570837984</v>
      </c>
      <c r="J211" s="90">
        <f t="shared" si="88"/>
        <v>2786.2244014025605</v>
      </c>
    </row>
    <row r="212" spans="2:11" outlineLevel="1" x14ac:dyDescent="0.3">
      <c r="B212" s="119" t="s">
        <v>189</v>
      </c>
      <c r="F212" s="90">
        <f>-F235</f>
        <v>-360.27457000000004</v>
      </c>
      <c r="G212" s="90">
        <f t="shared" ref="G212:J212" si="89">-G235</f>
        <v>-501.63970849900005</v>
      </c>
      <c r="H212" s="90">
        <f t="shared" si="89"/>
        <v>-657.49032510297013</v>
      </c>
      <c r="I212" s="90">
        <f t="shared" si="89"/>
        <v>-827.60806224189002</v>
      </c>
      <c r="J212" s="90">
        <f t="shared" si="89"/>
        <v>-1013.3563556687274</v>
      </c>
    </row>
    <row r="213" spans="2:11" outlineLevel="1" x14ac:dyDescent="0.3">
      <c r="B213" s="96" t="s">
        <v>188</v>
      </c>
      <c r="C213" s="95"/>
      <c r="D213" s="95"/>
      <c r="E213" s="121">
        <f>' Balance Sheet'!G17</f>
        <v>2854.5636</v>
      </c>
      <c r="F213" s="122">
        <f>SUM(F210:F212)</f>
        <v>4415.0955799999992</v>
      </c>
      <c r="G213" s="122">
        <f t="shared" ref="G213:J213" si="90">SUM(G210:G212)</f>
        <v>6033.9329489859992</v>
      </c>
      <c r="H213" s="122">
        <f t="shared" si="90"/>
        <v>7714.2018729425818</v>
      </c>
      <c r="I213" s="122">
        <f t="shared" si="90"/>
        <v>9438.3598677844893</v>
      </c>
      <c r="J213" s="122">
        <f t="shared" si="90"/>
        <v>11211.227913518322</v>
      </c>
    </row>
    <row r="214" spans="2:11" outlineLevel="1" x14ac:dyDescent="0.3"/>
    <row r="215" spans="2:11" outlineLevel="1" x14ac:dyDescent="0.3"/>
    <row r="216" spans="2:11" outlineLevel="1" x14ac:dyDescent="0.3">
      <c r="B216" s="94" t="s">
        <v>191</v>
      </c>
    </row>
    <row r="217" spans="2:11" outlineLevel="1" x14ac:dyDescent="0.3"/>
    <row r="218" spans="2:11" outlineLevel="1" x14ac:dyDescent="0.3">
      <c r="B218" s="124">
        <f>E9</f>
        <v>2023</v>
      </c>
      <c r="E218" s="120">
        <f>-' Income Statement'!G14</f>
        <v>783.37279999999998</v>
      </c>
      <c r="F218" s="90">
        <f>E218</f>
        <v>783.37279999999998</v>
      </c>
      <c r="G218" s="90">
        <f t="shared" ref="G218:J218" si="91">F218</f>
        <v>783.37279999999998</v>
      </c>
      <c r="H218" s="90">
        <f t="shared" si="91"/>
        <v>783.37279999999998</v>
      </c>
      <c r="I218" s="90">
        <f t="shared" si="91"/>
        <v>783.37279999999998</v>
      </c>
      <c r="J218" s="90">
        <f t="shared" si="91"/>
        <v>783.37279999999998</v>
      </c>
    </row>
    <row r="219" spans="2:11" outlineLevel="1" x14ac:dyDescent="0.3">
      <c r="B219" s="124">
        <f>B218+1</f>
        <v>2024</v>
      </c>
      <c r="E219" s="125"/>
      <c r="F219" s="90">
        <f>$F$206/$D$206</f>
        <v>320.13442500000002</v>
      </c>
      <c r="G219" s="90">
        <f t="shared" ref="G219:J219" si="92">$F$206/$D$206</f>
        <v>320.13442500000002</v>
      </c>
      <c r="H219" s="90">
        <f t="shared" si="92"/>
        <v>320.13442500000002</v>
      </c>
      <c r="I219" s="90">
        <f t="shared" si="92"/>
        <v>320.13442500000002</v>
      </c>
      <c r="J219" s="90">
        <f t="shared" si="92"/>
        <v>320.13442500000002</v>
      </c>
    </row>
    <row r="220" spans="2:11" outlineLevel="1" x14ac:dyDescent="0.3">
      <c r="B220" s="124">
        <f t="shared" ref="B220:B223" si="93">B219+1</f>
        <v>2025</v>
      </c>
      <c r="E220" s="125"/>
      <c r="F220" s="126"/>
      <c r="G220" s="90">
        <f>$G$206/$D$206</f>
        <v>353.41284624750006</v>
      </c>
      <c r="H220" s="90">
        <f t="shared" ref="H220:J220" si="94">$G$206/$D$206</f>
        <v>353.41284624750006</v>
      </c>
      <c r="I220" s="90">
        <f t="shared" si="94"/>
        <v>353.41284624750006</v>
      </c>
      <c r="J220" s="90">
        <f t="shared" si="94"/>
        <v>353.41284624750006</v>
      </c>
    </row>
    <row r="221" spans="2:11" outlineLevel="1" x14ac:dyDescent="0.3">
      <c r="B221" s="124">
        <f t="shared" si="93"/>
        <v>2026</v>
      </c>
      <c r="E221" s="125"/>
      <c r="F221" s="126"/>
      <c r="G221" s="126"/>
      <c r="H221" s="90">
        <f>$H206/$D206</f>
        <v>389.62654150992529</v>
      </c>
      <c r="I221" s="90">
        <f t="shared" ref="I221:J221" si="95">$H206/$D206</f>
        <v>389.62654150992529</v>
      </c>
      <c r="J221" s="90">
        <f t="shared" si="95"/>
        <v>389.62654150992529</v>
      </c>
      <c r="K221" s="85"/>
    </row>
    <row r="222" spans="2:11" outlineLevel="1" x14ac:dyDescent="0.3">
      <c r="B222" s="124">
        <f t="shared" si="93"/>
        <v>2027</v>
      </c>
      <c r="E222" s="125"/>
      <c r="F222" s="126"/>
      <c r="G222" s="126"/>
      <c r="H222" s="126"/>
      <c r="I222" s="90">
        <f>$I$206/$D$206</f>
        <v>425.29434284729979</v>
      </c>
      <c r="J222" s="90">
        <f>$I$206/$D$206</f>
        <v>425.29434284729979</v>
      </c>
    </row>
    <row r="223" spans="2:11" outlineLevel="1" x14ac:dyDescent="0.3">
      <c r="B223" s="124">
        <f t="shared" si="93"/>
        <v>2028</v>
      </c>
      <c r="E223" s="125"/>
      <c r="F223" s="126"/>
      <c r="G223" s="126"/>
      <c r="H223" s="126"/>
      <c r="I223" s="126"/>
      <c r="J223" s="90">
        <f>$J$206/$D$206</f>
        <v>464.37073356709345</v>
      </c>
    </row>
    <row r="224" spans="2:11" outlineLevel="1" x14ac:dyDescent="0.3">
      <c r="B224" s="96" t="s">
        <v>192</v>
      </c>
      <c r="C224" s="96"/>
      <c r="D224" s="96"/>
      <c r="E224" s="127">
        <f>SUM(E218:E223)</f>
        <v>783.37279999999998</v>
      </c>
      <c r="F224" s="127">
        <f t="shared" ref="F224:J224" si="96">SUM(F218:F223)</f>
        <v>1103.5072250000001</v>
      </c>
      <c r="G224" s="127">
        <f t="shared" si="96"/>
        <v>1456.9200712475001</v>
      </c>
      <c r="H224" s="127">
        <f t="shared" si="96"/>
        <v>1846.5466127574255</v>
      </c>
      <c r="I224" s="127">
        <f t="shared" si="96"/>
        <v>2271.8409556047254</v>
      </c>
      <c r="J224" s="127">
        <f t="shared" si="96"/>
        <v>2736.2116891718188</v>
      </c>
    </row>
    <row r="225" spans="1:12" outlineLevel="1" x14ac:dyDescent="0.3"/>
    <row r="226" spans="1:12" outlineLevel="1" x14ac:dyDescent="0.3"/>
    <row r="227" spans="1:12" outlineLevel="1" x14ac:dyDescent="0.3">
      <c r="B227" s="94" t="s">
        <v>193</v>
      </c>
    </row>
    <row r="228" spans="1:12" outlineLevel="1" x14ac:dyDescent="0.3"/>
    <row r="229" spans="1:12" outlineLevel="1" x14ac:dyDescent="0.3">
      <c r="B229" s="124">
        <f>E9</f>
        <v>2023</v>
      </c>
      <c r="E229" s="120">
        <f>-' Income Statement'!G15</f>
        <v>232.2208</v>
      </c>
      <c r="F229" s="90">
        <f>E229</f>
        <v>232.2208</v>
      </c>
      <c r="G229" s="90">
        <f t="shared" ref="G229:J229" si="97">F229</f>
        <v>232.2208</v>
      </c>
      <c r="H229" s="90">
        <f t="shared" si="97"/>
        <v>232.2208</v>
      </c>
      <c r="I229" s="90">
        <f t="shared" si="97"/>
        <v>232.2208</v>
      </c>
      <c r="J229" s="90">
        <f t="shared" si="97"/>
        <v>232.2208</v>
      </c>
    </row>
    <row r="230" spans="1:12" outlineLevel="1" x14ac:dyDescent="0.3">
      <c r="B230" s="124">
        <f>B229+1</f>
        <v>2024</v>
      </c>
      <c r="E230" s="125"/>
      <c r="F230" s="90">
        <f>$F$211/$D$211</f>
        <v>128.05377000000001</v>
      </c>
      <c r="G230" s="90">
        <f t="shared" ref="G230:J230" si="98">$F$211/$D$211</f>
        <v>128.05377000000001</v>
      </c>
      <c r="H230" s="90">
        <f t="shared" si="98"/>
        <v>128.05377000000001</v>
      </c>
      <c r="I230" s="90">
        <f t="shared" si="98"/>
        <v>128.05377000000001</v>
      </c>
      <c r="J230" s="90">
        <f t="shared" si="98"/>
        <v>128.05377000000001</v>
      </c>
    </row>
    <row r="231" spans="1:12" outlineLevel="1" x14ac:dyDescent="0.3">
      <c r="B231" s="124">
        <f t="shared" ref="B231:B234" si="99">B230+1</f>
        <v>2025</v>
      </c>
      <c r="E231" s="125"/>
      <c r="F231" s="126"/>
      <c r="G231" s="90">
        <f>$G$211/$D$211</f>
        <v>141.36513849900001</v>
      </c>
      <c r="H231" s="90">
        <f t="shared" ref="H231:J231" si="100">$G$211/$D$211</f>
        <v>141.36513849900001</v>
      </c>
      <c r="I231" s="90">
        <f t="shared" si="100"/>
        <v>141.36513849900001</v>
      </c>
      <c r="J231" s="90">
        <f t="shared" si="100"/>
        <v>141.36513849900001</v>
      </c>
    </row>
    <row r="232" spans="1:12" outlineLevel="1" x14ac:dyDescent="0.3">
      <c r="B232" s="124">
        <f t="shared" si="99"/>
        <v>2026</v>
      </c>
      <c r="E232" s="125"/>
      <c r="F232" s="126"/>
      <c r="G232" s="126"/>
      <c r="H232" s="90">
        <f>$H$211/$D$211</f>
        <v>155.85061660397011</v>
      </c>
      <c r="I232" s="90">
        <f t="shared" ref="I232:J232" si="101">$H$211/$D$211</f>
        <v>155.85061660397011</v>
      </c>
      <c r="J232" s="90">
        <f t="shared" si="101"/>
        <v>155.85061660397011</v>
      </c>
    </row>
    <row r="233" spans="1:12" outlineLevel="1" x14ac:dyDescent="0.3">
      <c r="B233" s="124">
        <f t="shared" si="99"/>
        <v>2027</v>
      </c>
      <c r="E233" s="125"/>
      <c r="F233" s="126"/>
      <c r="G233" s="126"/>
      <c r="H233" s="126"/>
      <c r="I233" s="90">
        <f>$I$211/$D$211</f>
        <v>170.11773713891989</v>
      </c>
      <c r="J233" s="90">
        <f>$I$211/$D$211</f>
        <v>170.11773713891989</v>
      </c>
    </row>
    <row r="234" spans="1:12" outlineLevel="1" x14ac:dyDescent="0.3">
      <c r="B234" s="124">
        <f t="shared" si="99"/>
        <v>2028</v>
      </c>
      <c r="E234" s="125"/>
      <c r="F234" s="126"/>
      <c r="G234" s="126"/>
      <c r="H234" s="126"/>
      <c r="I234" s="126"/>
      <c r="J234" s="90">
        <f>$J$211/$D$211</f>
        <v>185.74829342683736</v>
      </c>
    </row>
    <row r="235" spans="1:12" outlineLevel="1" x14ac:dyDescent="0.3">
      <c r="B235" s="96" t="s">
        <v>194</v>
      </c>
      <c r="C235" s="96"/>
      <c r="D235" s="96"/>
      <c r="E235" s="127">
        <f>SUM(E229:E234)</f>
        <v>232.2208</v>
      </c>
      <c r="F235" s="127">
        <f t="shared" ref="F235:J235" si="102">SUM(F229:F234)</f>
        <v>360.27457000000004</v>
      </c>
      <c r="G235" s="127">
        <f t="shared" si="102"/>
        <v>501.63970849900005</v>
      </c>
      <c r="H235" s="127">
        <f t="shared" si="102"/>
        <v>657.49032510297013</v>
      </c>
      <c r="I235" s="127">
        <f t="shared" si="102"/>
        <v>827.60806224189002</v>
      </c>
      <c r="J235" s="127">
        <f t="shared" si="102"/>
        <v>1013.3563556687274</v>
      </c>
    </row>
    <row r="236" spans="1:12" outlineLevel="1" x14ac:dyDescent="0.3">
      <c r="B236" s="59"/>
      <c r="C236" s="59"/>
      <c r="D236" s="59"/>
      <c r="E236" s="117"/>
      <c r="F236" s="117"/>
      <c r="G236" s="117"/>
      <c r="H236" s="117"/>
      <c r="I236" s="117"/>
      <c r="J236" s="117"/>
    </row>
    <row r="237" spans="1:12" ht="18" outlineLevel="1" x14ac:dyDescent="0.35">
      <c r="A237" t="s">
        <v>52</v>
      </c>
      <c r="B237" s="76" t="s">
        <v>290</v>
      </c>
      <c r="C237" s="48"/>
      <c r="D237" s="48"/>
      <c r="E237" s="48"/>
      <c r="F237" s="48"/>
      <c r="G237" s="48"/>
      <c r="H237" s="48"/>
      <c r="I237" s="48"/>
      <c r="J237" s="48"/>
    </row>
    <row r="238" spans="1:12" outlineLevel="1" x14ac:dyDescent="0.3">
      <c r="B238" s="59"/>
      <c r="C238" s="59"/>
      <c r="D238" s="59"/>
      <c r="E238" s="117"/>
      <c r="F238" s="117"/>
      <c r="G238" s="117"/>
      <c r="H238" s="117"/>
      <c r="I238" s="117"/>
      <c r="J238" s="117"/>
    </row>
    <row r="239" spans="1:12" outlineLevel="1" x14ac:dyDescent="0.3">
      <c r="B239" t="s">
        <v>291</v>
      </c>
      <c r="C239" s="59"/>
      <c r="D239" s="59"/>
      <c r="E239" s="189">
        <f>' Balance Sheet'!G32</f>
        <v>0</v>
      </c>
      <c r="F239" s="117">
        <f>E242</f>
        <v>0</v>
      </c>
      <c r="G239" s="117">
        <f t="shared" ref="G239:J239" si="103">F242</f>
        <v>0</v>
      </c>
      <c r="H239" s="117">
        <f t="shared" si="103"/>
        <v>0</v>
      </c>
      <c r="I239" s="117">
        <f t="shared" si="103"/>
        <v>0</v>
      </c>
      <c r="J239" s="117">
        <f t="shared" si="103"/>
        <v>0</v>
      </c>
    </row>
    <row r="240" spans="1:12" outlineLevel="1" x14ac:dyDescent="0.3">
      <c r="B240" s="119" t="s">
        <v>292</v>
      </c>
      <c r="C240" s="59"/>
      <c r="D240" s="59"/>
      <c r="E240" s="190">
        <v>0</v>
      </c>
      <c r="F240" s="117">
        <v>0</v>
      </c>
      <c r="G240" s="117">
        <v>0</v>
      </c>
      <c r="H240" s="117">
        <v>0</v>
      </c>
      <c r="I240" s="117">
        <v>0</v>
      </c>
      <c r="J240" s="117">
        <v>0</v>
      </c>
      <c r="L240" s="117">
        <f>IF(L246&lt;0,L246*-1,0)</f>
        <v>0</v>
      </c>
    </row>
    <row r="241" spans="1:10" outlineLevel="1" x14ac:dyDescent="0.3">
      <c r="B241" s="119" t="s">
        <v>293</v>
      </c>
      <c r="C241" s="59"/>
      <c r="D241" s="59"/>
      <c r="E241" s="190">
        <v>0</v>
      </c>
      <c r="F241" s="117">
        <v>0</v>
      </c>
      <c r="G241" s="117">
        <v>0</v>
      </c>
      <c r="H241" s="117">
        <v>0</v>
      </c>
      <c r="I241" s="117">
        <v>0</v>
      </c>
      <c r="J241" s="117">
        <v>0</v>
      </c>
    </row>
    <row r="242" spans="1:10" outlineLevel="1" x14ac:dyDescent="0.3">
      <c r="B242" s="61" t="s">
        <v>294</v>
      </c>
      <c r="C242" s="61"/>
      <c r="D242" s="61"/>
      <c r="E242" s="66">
        <f>SUM(E239:E241)</f>
        <v>0</v>
      </c>
      <c r="F242" s="66">
        <f t="shared" ref="F242:J242" si="104">SUM(F239:F241)</f>
        <v>0</v>
      </c>
      <c r="G242" s="66">
        <f t="shared" si="104"/>
        <v>0</v>
      </c>
      <c r="H242" s="66">
        <f t="shared" si="104"/>
        <v>0</v>
      </c>
      <c r="I242" s="66">
        <f t="shared" si="104"/>
        <v>0</v>
      </c>
      <c r="J242" s="66">
        <f t="shared" si="104"/>
        <v>0</v>
      </c>
    </row>
    <row r="243" spans="1:10" outlineLevel="1" x14ac:dyDescent="0.3">
      <c r="B243" s="59"/>
      <c r="C243" s="59"/>
      <c r="D243" s="59"/>
      <c r="E243" s="117"/>
      <c r="F243" s="117"/>
      <c r="G243" s="117"/>
      <c r="H243" s="117"/>
      <c r="I243" s="117"/>
      <c r="J243" s="117"/>
    </row>
    <row r="244" spans="1:10" outlineLevel="1" x14ac:dyDescent="0.3">
      <c r="B244" t="s">
        <v>295</v>
      </c>
      <c r="C244" s="59"/>
      <c r="D244" s="59"/>
      <c r="E244" s="117"/>
      <c r="F244" s="120">
        <f>'3 Statement Model'!F49</f>
        <v>2181.2644</v>
      </c>
      <c r="G244" s="90">
        <f>'3 Statement Model'!G49</f>
        <v>3386.2058044814403</v>
      </c>
      <c r="H244" s="90">
        <f>'3 Statement Model'!H49</f>
        <v>5257.9020475825091</v>
      </c>
      <c r="I244" s="90">
        <f>'3 Statement Model'!I49</f>
        <v>7677.0035599625007</v>
      </c>
      <c r="J244" s="90">
        <f>'3 Statement Model'!J49</f>
        <v>10878.163124709326</v>
      </c>
    </row>
    <row r="245" spans="1:10" outlineLevel="1" x14ac:dyDescent="0.3">
      <c r="B245" t="s">
        <v>296</v>
      </c>
      <c r="C245" s="59"/>
      <c r="D245" s="59"/>
      <c r="E245" s="117"/>
      <c r="F245" s="120">
        <f>'3 Statement Model'!G114</f>
        <v>1204.9414044814403</v>
      </c>
      <c r="G245" s="90">
        <f>'3 Statement Model'!H114</f>
        <v>1871.6962431010688</v>
      </c>
      <c r="H245" s="90">
        <f>'3 Statement Model'!I114</f>
        <v>2419.1015123799916</v>
      </c>
      <c r="I245" s="90">
        <f>'3 Statement Model'!J114</f>
        <v>3201.1595647468257</v>
      </c>
      <c r="J245" s="90">
        <f>'3 Statement Model'!K114</f>
        <v>4475.2295204072107</v>
      </c>
    </row>
    <row r="246" spans="1:10" outlineLevel="1" x14ac:dyDescent="0.3">
      <c r="B246" s="61" t="s">
        <v>297</v>
      </c>
      <c r="C246" s="61"/>
      <c r="D246" s="61"/>
      <c r="E246" s="66"/>
      <c r="F246" s="66">
        <f>SUM(F244:F245)</f>
        <v>3386.2058044814403</v>
      </c>
      <c r="G246" s="66">
        <f t="shared" ref="G246:J246" si="105">SUM(G244:G245)</f>
        <v>5257.9020475825091</v>
      </c>
      <c r="H246" s="66">
        <f t="shared" si="105"/>
        <v>7677.0035599625007</v>
      </c>
      <c r="I246" s="66">
        <f t="shared" si="105"/>
        <v>10878.163124709326</v>
      </c>
      <c r="J246" s="66">
        <f t="shared" si="105"/>
        <v>15353.392645116537</v>
      </c>
    </row>
    <row r="248" spans="1:10" ht="18" x14ac:dyDescent="0.35">
      <c r="A248" t="s">
        <v>52</v>
      </c>
      <c r="B248" s="76" t="s">
        <v>199</v>
      </c>
      <c r="C248" s="48"/>
      <c r="D248" s="48"/>
      <c r="E248" s="48"/>
      <c r="F248" s="48"/>
      <c r="G248" s="48"/>
      <c r="H248" s="48"/>
      <c r="I248" s="48"/>
      <c r="J248" s="48"/>
    </row>
    <row r="249" spans="1:10" outlineLevel="1" x14ac:dyDescent="0.3"/>
    <row r="250" spans="1:10" outlineLevel="1" x14ac:dyDescent="0.3">
      <c r="B250" t="s">
        <v>200</v>
      </c>
      <c r="E250" s="90">
        <f t="shared" ref="E250:J250" si="106">E44</f>
        <v>58010</v>
      </c>
      <c r="F250" s="90">
        <f t="shared" si="106"/>
        <v>64026.885000000002</v>
      </c>
      <c r="G250" s="90">
        <f t="shared" si="106"/>
        <v>70682.569249500011</v>
      </c>
      <c r="H250" s="90">
        <f t="shared" si="106"/>
        <v>77925.30830198506</v>
      </c>
      <c r="I250" s="90">
        <f t="shared" si="106"/>
        <v>85058.868569459955</v>
      </c>
      <c r="J250" s="90">
        <f t="shared" si="106"/>
        <v>92874.146713418682</v>
      </c>
    </row>
    <row r="251" spans="1:10" outlineLevel="1" x14ac:dyDescent="0.3">
      <c r="B251" t="s">
        <v>4</v>
      </c>
      <c r="E251" s="133">
        <f t="shared" ref="E251:J251" si="107">-E128</f>
        <v>-28113.5</v>
      </c>
      <c r="F251" s="133">
        <f t="shared" si="107"/>
        <v>-30164.898249999998</v>
      </c>
      <c r="G251" s="133">
        <f t="shared" si="107"/>
        <v>-32368.842189125004</v>
      </c>
      <c r="H251" s="133">
        <f t="shared" si="107"/>
        <v>-34640.688971256743</v>
      </c>
      <c r="I251" s="133">
        <f t="shared" si="107"/>
        <v>-36690.978546167695</v>
      </c>
      <c r="J251" s="133">
        <f t="shared" si="107"/>
        <v>-38869.544875921914</v>
      </c>
    </row>
    <row r="252" spans="1:10" outlineLevel="1" x14ac:dyDescent="0.3">
      <c r="B252" t="s">
        <v>201</v>
      </c>
      <c r="E252" s="133">
        <f t="shared" ref="E252:J252" si="108">-E189</f>
        <v>-20394.779600000002</v>
      </c>
      <c r="F252" s="133">
        <f t="shared" si="108"/>
        <v>-22301.599925000002</v>
      </c>
      <c r="G252" s="133">
        <f t="shared" si="108"/>
        <v>-24661.571621097504</v>
      </c>
      <c r="H252" s="133">
        <f t="shared" si="108"/>
        <v>-26901.194792105442</v>
      </c>
      <c r="I252" s="133">
        <f t="shared" si="108"/>
        <v>-29958.718874579885</v>
      </c>
      <c r="J252" s="133">
        <f t="shared" si="108"/>
        <v>-32452.354995430884</v>
      </c>
    </row>
    <row r="253" spans="1:10" outlineLevel="1" x14ac:dyDescent="0.3">
      <c r="B253" t="s">
        <v>202</v>
      </c>
      <c r="E253" s="133">
        <f t="shared" ref="E253:J253" si="109">-1*E235-E224</f>
        <v>-1015.5935999999999</v>
      </c>
      <c r="F253" s="133">
        <f t="shared" si="109"/>
        <v>-1463.7817950000001</v>
      </c>
      <c r="G253" s="133">
        <f t="shared" si="109"/>
        <v>-1958.5597797465002</v>
      </c>
      <c r="H253" s="133">
        <f t="shared" si="109"/>
        <v>-2504.0369378603955</v>
      </c>
      <c r="I253" s="133">
        <f t="shared" si="109"/>
        <v>-3099.4490178466153</v>
      </c>
      <c r="J253" s="133">
        <f t="shared" si="109"/>
        <v>-3749.568044840546</v>
      </c>
    </row>
    <row r="254" spans="1:10" outlineLevel="1" x14ac:dyDescent="0.3">
      <c r="B254" t="s">
        <v>203</v>
      </c>
      <c r="E254" s="133">
        <f>-E352</f>
        <v>-278.71199999999999</v>
      </c>
      <c r="F254" s="133">
        <f t="shared" ref="F254:J254" si="110">-F352</f>
        <v>-653.16719999999998</v>
      </c>
      <c r="G254" s="133">
        <f t="shared" si="110"/>
        <v>-707.05439999999999</v>
      </c>
      <c r="H254" s="133">
        <f t="shared" si="110"/>
        <v>-733.37160000000006</v>
      </c>
      <c r="I254" s="133">
        <f t="shared" si="110"/>
        <v>-733.16880000000003</v>
      </c>
      <c r="J254" s="133">
        <f t="shared" si="110"/>
        <v>-732.44600000000003</v>
      </c>
    </row>
    <row r="255" spans="1:10" outlineLevel="1" x14ac:dyDescent="0.3">
      <c r="B255" s="61" t="s">
        <v>204</v>
      </c>
      <c r="C255" s="61"/>
      <c r="D255" s="61"/>
      <c r="E255" s="66">
        <f>SUM(E250:E254)</f>
        <v>8207.4147999999986</v>
      </c>
      <c r="F255" s="66">
        <f t="shared" ref="F255:J255" si="111">SUM(F250:F254)</f>
        <v>9443.4378300000008</v>
      </c>
      <c r="G255" s="66">
        <f t="shared" si="111"/>
        <v>10986.541259531004</v>
      </c>
      <c r="H255" s="66">
        <f t="shared" si="111"/>
        <v>13146.01600076248</v>
      </c>
      <c r="I255" s="66">
        <f t="shared" si="111"/>
        <v>14576.553330865761</v>
      </c>
      <c r="J255" s="66">
        <f t="shared" si="111"/>
        <v>17070.232797225337</v>
      </c>
    </row>
    <row r="256" spans="1:10" outlineLevel="1" x14ac:dyDescent="0.3">
      <c r="B256" t="s">
        <v>205</v>
      </c>
      <c r="E256" s="134">
        <f>' Income Statement'!G26</f>
        <v>-1659.4470437999992</v>
      </c>
      <c r="F256" s="133">
        <f>-F255*F259</f>
        <v>-2360.8594575000002</v>
      </c>
      <c r="G256" s="133">
        <f>-G255*G259</f>
        <v>-2746.6353148827511</v>
      </c>
      <c r="H256" s="133">
        <f>-H255*H259</f>
        <v>-3286.50400019062</v>
      </c>
      <c r="I256" s="133">
        <f>-I255*I259</f>
        <v>-3644.1383327164403</v>
      </c>
      <c r="J256" s="133">
        <f>-J255*J259</f>
        <v>-4267.5581993063342</v>
      </c>
    </row>
    <row r="257" spans="1:10" outlineLevel="1" x14ac:dyDescent="0.3">
      <c r="B257" s="61" t="s">
        <v>18</v>
      </c>
      <c r="C257" s="61"/>
      <c r="D257" s="61"/>
      <c r="E257" s="66">
        <f>SUM(E255:E256)</f>
        <v>6547.9677561999997</v>
      </c>
      <c r="F257" s="66">
        <f>SUM(F255:F256)</f>
        <v>7082.5783725000001</v>
      </c>
      <c r="G257" s="66">
        <f t="shared" ref="G257:J257" si="112">SUM(G255:G256)</f>
        <v>8239.9059446482534</v>
      </c>
      <c r="H257" s="66">
        <f t="shared" si="112"/>
        <v>9859.51200057186</v>
      </c>
      <c r="I257" s="66">
        <f t="shared" si="112"/>
        <v>10932.414998149321</v>
      </c>
      <c r="J257" s="66">
        <f t="shared" si="112"/>
        <v>12802.674597919002</v>
      </c>
    </row>
    <row r="258" spans="1:10" outlineLevel="1" x14ac:dyDescent="0.3"/>
    <row r="259" spans="1:10" outlineLevel="1" x14ac:dyDescent="0.3">
      <c r="B259" s="55" t="s">
        <v>164</v>
      </c>
      <c r="C259" s="55"/>
      <c r="D259" s="55"/>
      <c r="E259" s="55"/>
      <c r="F259" s="135">
        <f>ControlSheet!G221</f>
        <v>0.25</v>
      </c>
      <c r="G259" s="135">
        <f>ControlSheet!H221</f>
        <v>0.25</v>
      </c>
      <c r="H259" s="135">
        <f>ControlSheet!I221</f>
        <v>0.25</v>
      </c>
      <c r="I259" s="135">
        <f>ControlSheet!J221</f>
        <v>0.25</v>
      </c>
      <c r="J259" s="135">
        <f>ControlSheet!K221</f>
        <v>0.25</v>
      </c>
    </row>
    <row r="261" spans="1:10" ht="18" x14ac:dyDescent="0.35">
      <c r="A261" t="s">
        <v>52</v>
      </c>
      <c r="B261" s="76" t="s">
        <v>277</v>
      </c>
      <c r="C261" s="48"/>
      <c r="D261" s="48"/>
      <c r="E261" s="48"/>
      <c r="F261" s="48"/>
      <c r="G261" s="48"/>
      <c r="H261" s="48"/>
      <c r="I261" s="48"/>
      <c r="J261" s="48"/>
    </row>
    <row r="262" spans="1:10" outlineLevel="1" x14ac:dyDescent="0.3"/>
    <row r="263" spans="1:10" outlineLevel="1" x14ac:dyDescent="0.3">
      <c r="B263" t="s">
        <v>206</v>
      </c>
      <c r="F263" s="90">
        <f>E266</f>
        <v>13098.562399999999</v>
      </c>
      <c r="G263" s="90">
        <f t="shared" ref="G263:J263" si="113">F266</f>
        <v>18056.367260749998</v>
      </c>
      <c r="H263" s="90">
        <f t="shared" si="113"/>
        <v>23824.301422003773</v>
      </c>
      <c r="I263" s="90">
        <f t="shared" si="113"/>
        <v>30725.959822404078</v>
      </c>
      <c r="J263" s="90">
        <f t="shared" si="113"/>
        <v>38378.650321108602</v>
      </c>
    </row>
    <row r="264" spans="1:10" outlineLevel="1" x14ac:dyDescent="0.3">
      <c r="B264" s="119" t="s">
        <v>207</v>
      </c>
      <c r="F264" s="90">
        <f>F257</f>
        <v>7082.5783725000001</v>
      </c>
      <c r="G264" s="90">
        <f>G257</f>
        <v>8239.9059446482534</v>
      </c>
      <c r="H264" s="90">
        <f>H257</f>
        <v>9859.51200057186</v>
      </c>
      <c r="I264" s="90">
        <f>I257</f>
        <v>10932.414998149321</v>
      </c>
      <c r="J264" s="90">
        <f>J257</f>
        <v>12802.674597919002</v>
      </c>
    </row>
    <row r="265" spans="1:10" outlineLevel="1" x14ac:dyDescent="0.3">
      <c r="B265" s="119" t="s">
        <v>208</v>
      </c>
      <c r="F265" s="133">
        <f>-F264*F268</f>
        <v>-2124.7735117500001</v>
      </c>
      <c r="G265" s="133">
        <f t="shared" ref="G265:J265" si="114">-G264*G268</f>
        <v>-2471.971783394476</v>
      </c>
      <c r="H265" s="133">
        <f t="shared" si="114"/>
        <v>-2957.8536001715579</v>
      </c>
      <c r="I265" s="133">
        <f t="shared" si="114"/>
        <v>-3279.724499444796</v>
      </c>
      <c r="J265" s="133">
        <f t="shared" si="114"/>
        <v>-3840.8023793757002</v>
      </c>
    </row>
    <row r="266" spans="1:10" outlineLevel="1" x14ac:dyDescent="0.3">
      <c r="B266" s="61" t="s">
        <v>209</v>
      </c>
      <c r="C266" s="64"/>
      <c r="D266" s="64"/>
      <c r="E266" s="138">
        <f>' Balance Sheet'!G37</f>
        <v>13098.562399999999</v>
      </c>
      <c r="F266" s="127">
        <f>SUM(F263:F265)</f>
        <v>18056.367260749998</v>
      </c>
      <c r="G266" s="127">
        <f t="shared" ref="G266:J266" si="115">SUM(G263:G265)</f>
        <v>23824.301422003773</v>
      </c>
      <c r="H266" s="127">
        <f t="shared" si="115"/>
        <v>30725.959822404078</v>
      </c>
      <c r="I266" s="127">
        <f t="shared" si="115"/>
        <v>38378.650321108602</v>
      </c>
      <c r="J266" s="127">
        <f t="shared" si="115"/>
        <v>47340.522539651902</v>
      </c>
    </row>
    <row r="267" spans="1:10" outlineLevel="1" x14ac:dyDescent="0.3"/>
    <row r="268" spans="1:10" outlineLevel="1" x14ac:dyDescent="0.3">
      <c r="B268" s="136" t="s">
        <v>210</v>
      </c>
      <c r="C268" s="136"/>
      <c r="D268" s="136"/>
      <c r="E268" s="136"/>
      <c r="F268" s="137">
        <f>ControlSheet!G253</f>
        <v>0.3</v>
      </c>
      <c r="G268" s="137">
        <f>ControlSheet!H253</f>
        <v>0.3</v>
      </c>
      <c r="H268" s="137">
        <f>ControlSheet!I253</f>
        <v>0.3</v>
      </c>
      <c r="I268" s="137">
        <f>ControlSheet!J253</f>
        <v>0.3</v>
      </c>
      <c r="J268" s="137">
        <f>ControlSheet!K253</f>
        <v>0.3</v>
      </c>
    </row>
    <row r="269" spans="1:10" outlineLevel="1" x14ac:dyDescent="0.3"/>
    <row r="271" spans="1:10" ht="18" x14ac:dyDescent="0.35">
      <c r="A271" t="s">
        <v>52</v>
      </c>
      <c r="B271" s="76" t="s">
        <v>211</v>
      </c>
      <c r="C271" s="48"/>
      <c r="D271" s="48"/>
      <c r="E271" s="48"/>
      <c r="F271" s="48"/>
      <c r="G271" s="48"/>
      <c r="H271" s="48"/>
      <c r="I271" s="48"/>
      <c r="J271" s="48"/>
    </row>
    <row r="272" spans="1:10" outlineLevel="1" x14ac:dyDescent="0.3">
      <c r="J272" s="139">
        <v>365</v>
      </c>
    </row>
    <row r="273" spans="2:10" outlineLevel="1" x14ac:dyDescent="0.3">
      <c r="B273" s="94" t="s">
        <v>23</v>
      </c>
    </row>
    <row r="274" spans="2:10" outlineLevel="1" x14ac:dyDescent="0.3">
      <c r="B274" t="s">
        <v>3</v>
      </c>
      <c r="E274" s="90">
        <f>E$44</f>
        <v>58010</v>
      </c>
      <c r="F274" s="90">
        <f t="shared" ref="F274:J274" si="116">F$44</f>
        <v>64026.885000000002</v>
      </c>
      <c r="G274" s="90">
        <f t="shared" si="116"/>
        <v>70682.569249500011</v>
      </c>
      <c r="H274" s="90">
        <f t="shared" si="116"/>
        <v>77925.30830198506</v>
      </c>
      <c r="I274" s="90">
        <f t="shared" si="116"/>
        <v>85058.868569459955</v>
      </c>
      <c r="J274" s="90">
        <f t="shared" si="116"/>
        <v>92874.146713418682</v>
      </c>
    </row>
    <row r="275" spans="2:10" outlineLevel="1" x14ac:dyDescent="0.3">
      <c r="B275" t="s">
        <v>23</v>
      </c>
      <c r="E275" s="120">
        <f>' Balance Sheet'!G11</f>
        <v>6550.7708000000002</v>
      </c>
      <c r="F275" s="90">
        <f>F274/$J$272*$F276</f>
        <v>7230.2266621782101</v>
      </c>
      <c r="G275" s="90">
        <f t="shared" ref="G275:J275" si="117">G274/$J$272*$F276</f>
        <v>7981.8188365558099</v>
      </c>
      <c r="H275" s="90">
        <f t="shared" si="117"/>
        <v>8799.7040890474273</v>
      </c>
      <c r="I275" s="90">
        <f t="shared" si="117"/>
        <v>9605.2603431452517</v>
      </c>
      <c r="J275" s="90">
        <f t="shared" si="117"/>
        <v>10487.79948914289</v>
      </c>
    </row>
    <row r="276" spans="2:10" outlineLevel="1" x14ac:dyDescent="0.3">
      <c r="B276" s="54" t="s">
        <v>215</v>
      </c>
      <c r="C276" s="54"/>
      <c r="D276" s="54"/>
      <c r="E276" s="140">
        <f>(E275/E274)*$J$272</f>
        <v>41.21757183244268</v>
      </c>
      <c r="F276" s="140">
        <f>E276</f>
        <v>41.21757183244268</v>
      </c>
      <c r="G276" s="140">
        <f t="shared" ref="G276:J276" si="118">F276</f>
        <v>41.21757183244268</v>
      </c>
      <c r="H276" s="140">
        <f t="shared" si="118"/>
        <v>41.21757183244268</v>
      </c>
      <c r="I276" s="140">
        <f t="shared" si="118"/>
        <v>41.21757183244268</v>
      </c>
      <c r="J276" s="140">
        <f t="shared" si="118"/>
        <v>41.21757183244268</v>
      </c>
    </row>
    <row r="277" spans="2:10" outlineLevel="1" x14ac:dyDescent="0.3"/>
    <row r="278" spans="2:10" outlineLevel="1" x14ac:dyDescent="0.3">
      <c r="B278" s="94" t="s">
        <v>22</v>
      </c>
    </row>
    <row r="279" spans="2:10" outlineLevel="1" x14ac:dyDescent="0.3">
      <c r="B279" t="s">
        <v>212</v>
      </c>
      <c r="E279" s="90">
        <f>E$128</f>
        <v>28113.5</v>
      </c>
      <c r="F279" s="90">
        <f t="shared" ref="F279:J279" si="119">F$128</f>
        <v>30164.898249999998</v>
      </c>
      <c r="G279" s="90">
        <f t="shared" si="119"/>
        <v>32368.842189125004</v>
      </c>
      <c r="H279" s="90">
        <f t="shared" si="119"/>
        <v>34640.688971256743</v>
      </c>
      <c r="I279" s="90">
        <f t="shared" si="119"/>
        <v>36690.978546167695</v>
      </c>
      <c r="J279" s="90">
        <f t="shared" si="119"/>
        <v>38869.544875921914</v>
      </c>
    </row>
    <row r="280" spans="2:10" outlineLevel="1" x14ac:dyDescent="0.3">
      <c r="B280" t="s">
        <v>22</v>
      </c>
      <c r="E280" s="120">
        <f>' Balance Sheet'!G10</f>
        <v>5592.6248000000005</v>
      </c>
      <c r="F280" s="90">
        <f>F279/$J$272*$F281</f>
        <v>6000.7099095604108</v>
      </c>
      <c r="G280" s="90">
        <f t="shared" ref="G280:J280" si="120">G279/$J$272*$F281</f>
        <v>6439.1409669442373</v>
      </c>
      <c r="H280" s="90">
        <f t="shared" si="120"/>
        <v>6891.0799519710099</v>
      </c>
      <c r="I280" s="90">
        <f t="shared" si="120"/>
        <v>7298.9445125496804</v>
      </c>
      <c r="J280" s="90">
        <f t="shared" si="120"/>
        <v>7732.3271964641135</v>
      </c>
    </row>
    <row r="281" spans="2:10" outlineLevel="1" x14ac:dyDescent="0.3">
      <c r="B281" s="54" t="s">
        <v>216</v>
      </c>
      <c r="C281" s="54"/>
      <c r="D281" s="54"/>
      <c r="E281" s="140">
        <f>(E280/E279)*$J$272</f>
        <v>72.60953107937469</v>
      </c>
      <c r="F281" s="140">
        <f>E281</f>
        <v>72.60953107937469</v>
      </c>
      <c r="G281" s="140">
        <f t="shared" ref="G281:J281" si="121">F281</f>
        <v>72.60953107937469</v>
      </c>
      <c r="H281" s="140">
        <f t="shared" si="121"/>
        <v>72.60953107937469</v>
      </c>
      <c r="I281" s="140">
        <f t="shared" si="121"/>
        <v>72.60953107937469</v>
      </c>
      <c r="J281" s="140">
        <f t="shared" si="121"/>
        <v>72.60953107937469</v>
      </c>
    </row>
    <row r="282" spans="2:10" outlineLevel="1" x14ac:dyDescent="0.3"/>
    <row r="283" spans="2:10" outlineLevel="1" x14ac:dyDescent="0.3">
      <c r="B283" s="94" t="s">
        <v>24</v>
      </c>
    </row>
    <row r="284" spans="2:10" outlineLevel="1" x14ac:dyDescent="0.3">
      <c r="B284" t="s">
        <v>3</v>
      </c>
      <c r="E284" s="90">
        <f>E$44</f>
        <v>58010</v>
      </c>
      <c r="F284" s="90">
        <f t="shared" ref="F284:J284" si="122">F$44</f>
        <v>64026.885000000002</v>
      </c>
      <c r="G284" s="90">
        <f t="shared" si="122"/>
        <v>70682.569249500011</v>
      </c>
      <c r="H284" s="90">
        <f t="shared" si="122"/>
        <v>77925.30830198506</v>
      </c>
      <c r="I284" s="90">
        <f t="shared" si="122"/>
        <v>85058.868569459955</v>
      </c>
      <c r="J284" s="90">
        <f t="shared" si="122"/>
        <v>92874.146713418682</v>
      </c>
    </row>
    <row r="285" spans="2:10" outlineLevel="1" x14ac:dyDescent="0.3">
      <c r="B285" t="s">
        <v>24</v>
      </c>
      <c r="E285" s="120">
        <f>' Balance Sheet'!G12</f>
        <v>2186.9875999999999</v>
      </c>
      <c r="F285" s="90">
        <f>F284*F286</f>
        <v>2413.8252639480434</v>
      </c>
      <c r="G285" s="90">
        <f t="shared" ref="G285:J285" si="123">G284*G286</f>
        <v>2664.7457763281818</v>
      </c>
      <c r="H285" s="90">
        <f t="shared" si="123"/>
        <v>2937.798362051687</v>
      </c>
      <c r="I285" s="90">
        <f t="shared" si="123"/>
        <v>3206.7348876303854</v>
      </c>
      <c r="J285" s="90">
        <f t="shared" si="123"/>
        <v>3501.3723017208654</v>
      </c>
    </row>
    <row r="286" spans="2:10" outlineLevel="1" x14ac:dyDescent="0.3">
      <c r="B286" s="55" t="s">
        <v>218</v>
      </c>
      <c r="C286" s="55"/>
      <c r="D286" s="55"/>
      <c r="E286" s="97">
        <f>E285/E284</f>
        <v>3.7700182727116012E-2</v>
      </c>
      <c r="F286" s="97">
        <f>E286</f>
        <v>3.7700182727116012E-2</v>
      </c>
      <c r="G286" s="97">
        <f t="shared" ref="G286:J286" si="124">F286</f>
        <v>3.7700182727116012E-2</v>
      </c>
      <c r="H286" s="97">
        <f t="shared" si="124"/>
        <v>3.7700182727116012E-2</v>
      </c>
      <c r="I286" s="97">
        <f t="shared" si="124"/>
        <v>3.7700182727116012E-2</v>
      </c>
      <c r="J286" s="97">
        <f t="shared" si="124"/>
        <v>3.7700182727116012E-2</v>
      </c>
    </row>
    <row r="287" spans="2:10" outlineLevel="1" x14ac:dyDescent="0.3"/>
    <row r="288" spans="2:10" outlineLevel="1" x14ac:dyDescent="0.3">
      <c r="B288" s="94" t="s">
        <v>213</v>
      </c>
    </row>
    <row r="289" spans="2:10" outlineLevel="1" x14ac:dyDescent="0.3">
      <c r="B289" t="s">
        <v>214</v>
      </c>
      <c r="E289" s="90">
        <f>E$44</f>
        <v>58010</v>
      </c>
      <c r="F289" s="90">
        <f t="shared" ref="F289:J289" si="125">F$44</f>
        <v>64026.885000000002</v>
      </c>
      <c r="G289" s="90">
        <f t="shared" si="125"/>
        <v>70682.569249500011</v>
      </c>
      <c r="H289" s="90">
        <f t="shared" si="125"/>
        <v>77925.30830198506</v>
      </c>
      <c r="I289" s="90">
        <f t="shared" si="125"/>
        <v>85058.868569459955</v>
      </c>
      <c r="J289" s="90">
        <f t="shared" si="125"/>
        <v>92874.146713418682</v>
      </c>
    </row>
    <row r="290" spans="2:10" outlineLevel="1" x14ac:dyDescent="0.3">
      <c r="B290" t="s">
        <v>213</v>
      </c>
      <c r="E290" s="120">
        <f>' Balance Sheet'!G13</f>
        <v>151.15520000000001</v>
      </c>
      <c r="F290" s="90">
        <f>F289*F291</f>
        <v>166.83324612225479</v>
      </c>
      <c r="G290" s="90">
        <f t="shared" ref="G290:J290" si="126">G289*G291</f>
        <v>184.17579540462032</v>
      </c>
      <c r="H290" s="90">
        <f t="shared" si="126"/>
        <v>203.04801864244465</v>
      </c>
      <c r="I290" s="90">
        <f t="shared" si="126"/>
        <v>221.63575746234156</v>
      </c>
      <c r="J290" s="90">
        <f t="shared" si="126"/>
        <v>241.99983143072134</v>
      </c>
    </row>
    <row r="291" spans="2:10" outlineLevel="1" x14ac:dyDescent="0.3">
      <c r="B291" s="54" t="s">
        <v>219</v>
      </c>
      <c r="C291" s="54"/>
      <c r="D291" s="54"/>
      <c r="E291" s="88">
        <f>E290/E289</f>
        <v>2.6056748836407518E-3</v>
      </c>
      <c r="F291" s="88">
        <f>E291</f>
        <v>2.6056748836407518E-3</v>
      </c>
      <c r="G291" s="88">
        <f t="shared" ref="G291:J291" si="127">F291</f>
        <v>2.6056748836407518E-3</v>
      </c>
      <c r="H291" s="88">
        <f t="shared" si="127"/>
        <v>2.6056748836407518E-3</v>
      </c>
      <c r="I291" s="88">
        <f t="shared" si="127"/>
        <v>2.6056748836407518E-3</v>
      </c>
      <c r="J291" s="88">
        <f t="shared" si="127"/>
        <v>2.6056748836407518E-3</v>
      </c>
    </row>
    <row r="292" spans="2:10" outlineLevel="1" x14ac:dyDescent="0.3"/>
    <row r="293" spans="2:10" outlineLevel="1" x14ac:dyDescent="0.3">
      <c r="B293" s="94" t="s">
        <v>34</v>
      </c>
    </row>
    <row r="294" spans="2:10" outlineLevel="1" x14ac:dyDescent="0.3">
      <c r="B294" t="s">
        <v>212</v>
      </c>
      <c r="E294" s="90">
        <f>E$128</f>
        <v>28113.5</v>
      </c>
      <c r="F294" s="90">
        <f t="shared" ref="F294:J294" si="128">F$128</f>
        <v>30164.898249999998</v>
      </c>
      <c r="G294" s="90">
        <f t="shared" si="128"/>
        <v>32368.842189125004</v>
      </c>
      <c r="H294" s="90">
        <f t="shared" si="128"/>
        <v>34640.688971256743</v>
      </c>
      <c r="I294" s="90">
        <f t="shared" si="128"/>
        <v>36690.978546167695</v>
      </c>
      <c r="J294" s="90">
        <f t="shared" si="128"/>
        <v>38869.544875921914</v>
      </c>
    </row>
    <row r="295" spans="2:10" outlineLevel="1" x14ac:dyDescent="0.3">
      <c r="B295" t="s">
        <v>34</v>
      </c>
      <c r="E295" s="120">
        <f>' Balance Sheet'!G26</f>
        <v>6055.8119999999999</v>
      </c>
      <c r="F295" s="90">
        <f>F294/$J$272*$F296</f>
        <v>6497.6951571710742</v>
      </c>
      <c r="G295" s="90">
        <f t="shared" ref="G295:J295" si="129">G294/$J$272*$F296</f>
        <v>6972.4375461970039</v>
      </c>
      <c r="H295" s="90">
        <f t="shared" si="129"/>
        <v>7461.8066039591031</v>
      </c>
      <c r="I295" s="90">
        <f t="shared" si="129"/>
        <v>7903.4509460446016</v>
      </c>
      <c r="J295" s="90">
        <f t="shared" si="129"/>
        <v>8372.7268498816029</v>
      </c>
    </row>
    <row r="296" spans="2:10" outlineLevel="1" x14ac:dyDescent="0.3">
      <c r="B296" s="54" t="s">
        <v>217</v>
      </c>
      <c r="C296" s="54"/>
      <c r="D296" s="54"/>
      <c r="E296" s="140">
        <f>(E295/E294)*$J$272</f>
        <v>78.623130524481127</v>
      </c>
      <c r="F296" s="140">
        <f>E296</f>
        <v>78.623130524481127</v>
      </c>
      <c r="G296" s="140">
        <f t="shared" ref="G296:J296" si="130">F296</f>
        <v>78.623130524481127</v>
      </c>
      <c r="H296" s="140">
        <f t="shared" si="130"/>
        <v>78.623130524481127</v>
      </c>
      <c r="I296" s="140">
        <f t="shared" si="130"/>
        <v>78.623130524481127</v>
      </c>
      <c r="J296" s="140">
        <f t="shared" si="130"/>
        <v>78.623130524481127</v>
      </c>
    </row>
    <row r="297" spans="2:10" outlineLevel="1" x14ac:dyDescent="0.3"/>
    <row r="298" spans="2:10" outlineLevel="1" x14ac:dyDescent="0.3">
      <c r="B298" s="94" t="s">
        <v>35</v>
      </c>
    </row>
    <row r="299" spans="2:10" outlineLevel="1" x14ac:dyDescent="0.3">
      <c r="B299" t="s">
        <v>3</v>
      </c>
      <c r="E299" s="90">
        <f>E$44</f>
        <v>58010</v>
      </c>
      <c r="F299" s="90">
        <f t="shared" ref="F299:J299" si="131">F$44</f>
        <v>64026.885000000002</v>
      </c>
      <c r="G299" s="90">
        <f t="shared" si="131"/>
        <v>70682.569249500011</v>
      </c>
      <c r="H299" s="90">
        <f t="shared" si="131"/>
        <v>77925.30830198506</v>
      </c>
      <c r="I299" s="90">
        <f t="shared" si="131"/>
        <v>85058.868569459955</v>
      </c>
      <c r="J299" s="90">
        <f t="shared" si="131"/>
        <v>92874.146713418682</v>
      </c>
    </row>
    <row r="300" spans="2:10" outlineLevel="1" x14ac:dyDescent="0.3">
      <c r="B300" t="s">
        <v>35</v>
      </c>
      <c r="E300" s="120">
        <f>' Balance Sheet'!G27</f>
        <v>3343.4071999999996</v>
      </c>
      <c r="F300" s="90">
        <f>F299*F301</f>
        <v>3690.1904551382863</v>
      </c>
      <c r="G300" s="90">
        <f t="shared" ref="G300:J300" si="132">G299*G301</f>
        <v>4073.790914381605</v>
      </c>
      <c r="H300" s="90">
        <f t="shared" si="132"/>
        <v>4491.2262857968726</v>
      </c>
      <c r="I300" s="90">
        <f t="shared" si="132"/>
        <v>4902.3691363383223</v>
      </c>
      <c r="J300" s="90">
        <f t="shared" si="132"/>
        <v>5352.8028066798879</v>
      </c>
    </row>
    <row r="301" spans="2:10" outlineLevel="1" x14ac:dyDescent="0.3">
      <c r="B301" s="54" t="s">
        <v>220</v>
      </c>
      <c r="C301" s="54"/>
      <c r="D301" s="54"/>
      <c r="E301" s="88">
        <f>E300/E299</f>
        <v>5.7635014652646088E-2</v>
      </c>
      <c r="F301" s="88">
        <f>E301</f>
        <v>5.7635014652646088E-2</v>
      </c>
      <c r="G301" s="88">
        <f t="shared" ref="G301:J301" si="133">F301</f>
        <v>5.7635014652646088E-2</v>
      </c>
      <c r="H301" s="88">
        <f t="shared" si="133"/>
        <v>5.7635014652646088E-2</v>
      </c>
      <c r="I301" s="88">
        <f t="shared" si="133"/>
        <v>5.7635014652646088E-2</v>
      </c>
      <c r="J301" s="88">
        <f t="shared" si="133"/>
        <v>5.7635014652646088E-2</v>
      </c>
    </row>
    <row r="302" spans="2:10" outlineLevel="1" x14ac:dyDescent="0.3">
      <c r="B302">
        <v>1</v>
      </c>
    </row>
    <row r="303" spans="2:10" outlineLevel="1" x14ac:dyDescent="0.3">
      <c r="B303" s="94" t="s">
        <v>36</v>
      </c>
    </row>
    <row r="304" spans="2:10" outlineLevel="1" x14ac:dyDescent="0.3">
      <c r="B304" t="s">
        <v>3</v>
      </c>
      <c r="E304" s="90">
        <f>E$44</f>
        <v>58010</v>
      </c>
      <c r="F304" s="90">
        <f t="shared" ref="F304:J304" si="134">F$44</f>
        <v>64026.885000000002</v>
      </c>
      <c r="G304" s="90">
        <f t="shared" si="134"/>
        <v>70682.569249500011</v>
      </c>
      <c r="H304" s="90">
        <f t="shared" si="134"/>
        <v>77925.30830198506</v>
      </c>
      <c r="I304" s="90">
        <f t="shared" si="134"/>
        <v>85058.868569459955</v>
      </c>
      <c r="J304" s="90">
        <f t="shared" si="134"/>
        <v>92874.146713418682</v>
      </c>
    </row>
    <row r="305" spans="2:10" outlineLevel="1" x14ac:dyDescent="0.3">
      <c r="B305" t="s">
        <v>36</v>
      </c>
      <c r="E305" s="120">
        <f>' Balance Sheet'!G28</f>
        <v>259.30799999999999</v>
      </c>
      <c r="F305" s="90">
        <f>F304*F306</f>
        <v>286.20381823099467</v>
      </c>
      <c r="G305" s="90">
        <f t="shared" ref="G305:I305" si="135">G304*G306</f>
        <v>315.95510544646351</v>
      </c>
      <c r="H305" s="90">
        <f t="shared" si="135"/>
        <v>348.3305610269116</v>
      </c>
      <c r="I305" s="90">
        <f t="shared" si="135"/>
        <v>380.2179812275387</v>
      </c>
      <c r="J305" s="90">
        <f>J304*J306</f>
        <v>415.15271911675865</v>
      </c>
    </row>
    <row r="306" spans="2:10" outlineLevel="1" x14ac:dyDescent="0.3">
      <c r="B306" s="54" t="s">
        <v>221</v>
      </c>
      <c r="C306" s="54"/>
      <c r="D306" s="54"/>
      <c r="E306" s="88">
        <f t="shared" ref="E306" si="136">E305/E304</f>
        <v>4.4700568867436646E-3</v>
      </c>
      <c r="F306" s="88">
        <f>E306</f>
        <v>4.4700568867436646E-3</v>
      </c>
      <c r="G306" s="88">
        <f t="shared" ref="G306:I306" si="137">F306</f>
        <v>4.4700568867436646E-3</v>
      </c>
      <c r="H306" s="88">
        <f t="shared" si="137"/>
        <v>4.4700568867436646E-3</v>
      </c>
      <c r="I306" s="88">
        <f t="shared" si="137"/>
        <v>4.4700568867436646E-3</v>
      </c>
      <c r="J306" s="88">
        <f>I306</f>
        <v>4.4700568867436646E-3</v>
      </c>
    </row>
    <row r="307" spans="2:10" outlineLevel="1" x14ac:dyDescent="0.3">
      <c r="B307" s="59"/>
      <c r="C307" s="59"/>
      <c r="D307" s="59"/>
      <c r="E307" s="182"/>
      <c r="F307" s="182"/>
      <c r="G307" s="182"/>
      <c r="H307" s="182"/>
      <c r="I307" s="182"/>
      <c r="J307" s="182"/>
    </row>
    <row r="308" spans="2:10" outlineLevel="1" x14ac:dyDescent="0.3">
      <c r="B308" s="94" t="s">
        <v>278</v>
      </c>
      <c r="C308" s="59"/>
      <c r="D308" s="59"/>
      <c r="E308" s="182"/>
      <c r="F308" s="182"/>
      <c r="G308" s="182"/>
      <c r="H308" s="182"/>
      <c r="I308" s="182"/>
      <c r="J308" s="182"/>
    </row>
    <row r="309" spans="2:10" outlineLevel="1" x14ac:dyDescent="0.3">
      <c r="B309" s="59"/>
      <c r="C309" s="59"/>
      <c r="D309" s="59"/>
      <c r="E309" s="182"/>
      <c r="F309" s="182"/>
      <c r="G309" s="182"/>
      <c r="H309" s="182"/>
      <c r="I309" s="182"/>
      <c r="J309" s="182"/>
    </row>
    <row r="310" spans="2:10" outlineLevel="1" x14ac:dyDescent="0.3">
      <c r="B310" t="s">
        <v>280</v>
      </c>
      <c r="E310" s="183"/>
      <c r="F310" s="90">
        <f>F280-E280</f>
        <v>408.08510956041027</v>
      </c>
      <c r="G310" s="90">
        <f t="shared" ref="G310:J310" si="138">G280-F280</f>
        <v>438.43105738382656</v>
      </c>
      <c r="H310" s="90">
        <f t="shared" si="138"/>
        <v>451.93898502677257</v>
      </c>
      <c r="I310" s="90">
        <f t="shared" si="138"/>
        <v>407.86456057867053</v>
      </c>
      <c r="J310" s="90">
        <f t="shared" si="138"/>
        <v>433.38268391443307</v>
      </c>
    </row>
    <row r="311" spans="2:10" outlineLevel="1" x14ac:dyDescent="0.3">
      <c r="B311" t="s">
        <v>281</v>
      </c>
      <c r="E311" s="183"/>
      <c r="F311" s="90">
        <f>F275-E275</f>
        <v>679.45586217820983</v>
      </c>
      <c r="G311" s="90">
        <f t="shared" ref="G311:J311" si="139">G275-F275</f>
        <v>751.5921743775998</v>
      </c>
      <c r="H311" s="90">
        <f t="shared" si="139"/>
        <v>817.88525249161739</v>
      </c>
      <c r="I311" s="90">
        <f t="shared" si="139"/>
        <v>805.55625409782442</v>
      </c>
      <c r="J311" s="90">
        <f t="shared" si="139"/>
        <v>882.53914599763812</v>
      </c>
    </row>
    <row r="312" spans="2:10" outlineLevel="1" x14ac:dyDescent="0.3">
      <c r="B312" t="s">
        <v>282</v>
      </c>
      <c r="E312" s="183"/>
      <c r="F312" s="90">
        <f>F285-E285</f>
        <v>226.83766394804343</v>
      </c>
      <c r="G312" s="90">
        <f t="shared" ref="G312:J312" si="140">G285-F285</f>
        <v>250.92051238013846</v>
      </c>
      <c r="H312" s="90">
        <f t="shared" si="140"/>
        <v>273.05258572350522</v>
      </c>
      <c r="I312" s="90">
        <f t="shared" si="140"/>
        <v>268.93652557869837</v>
      </c>
      <c r="J312" s="90">
        <f t="shared" si="140"/>
        <v>294.63741409047998</v>
      </c>
    </row>
    <row r="313" spans="2:10" outlineLevel="1" x14ac:dyDescent="0.3">
      <c r="B313" t="s">
        <v>283</v>
      </c>
      <c r="E313" s="183"/>
      <c r="F313" s="90">
        <f>F290-E290</f>
        <v>15.678046122254784</v>
      </c>
      <c r="G313" s="90">
        <f t="shared" ref="G313:J313" si="141">G290-F290</f>
        <v>17.342549282365525</v>
      </c>
      <c r="H313" s="90">
        <f t="shared" si="141"/>
        <v>18.872223237824329</v>
      </c>
      <c r="I313" s="90">
        <f t="shared" si="141"/>
        <v>18.587738819896913</v>
      </c>
      <c r="J313" s="90">
        <f t="shared" si="141"/>
        <v>20.364073968379785</v>
      </c>
    </row>
    <row r="314" spans="2:10" outlineLevel="1" x14ac:dyDescent="0.3">
      <c r="B314" s="61" t="s">
        <v>279</v>
      </c>
      <c r="C314" s="61"/>
      <c r="D314" s="61"/>
      <c r="E314" s="184"/>
      <c r="F314" s="89">
        <f>SUM(F310:F313)</f>
        <v>1330.0566818089183</v>
      </c>
      <c r="G314" s="89">
        <f t="shared" ref="G314:J314" si="142">SUM(G310:G313)</f>
        <v>1458.2862934239304</v>
      </c>
      <c r="H314" s="89">
        <f t="shared" si="142"/>
        <v>1561.7490464797195</v>
      </c>
      <c r="I314" s="89">
        <f t="shared" si="142"/>
        <v>1500.9450790750902</v>
      </c>
      <c r="J314" s="89">
        <f t="shared" si="142"/>
        <v>1630.9233179709308</v>
      </c>
    </row>
    <row r="315" spans="2:10" outlineLevel="1" x14ac:dyDescent="0.3">
      <c r="E315" s="183"/>
      <c r="F315" s="90"/>
      <c r="G315" s="90"/>
      <c r="H315" s="90"/>
      <c r="I315" s="90"/>
      <c r="J315" s="90"/>
    </row>
    <row r="316" spans="2:10" outlineLevel="1" x14ac:dyDescent="0.3">
      <c r="B316" t="s">
        <v>284</v>
      </c>
      <c r="E316" s="183"/>
      <c r="F316" s="90">
        <f>F295-E295</f>
        <v>441.88315717107434</v>
      </c>
      <c r="G316" s="90">
        <f t="shared" ref="G316:J316" si="143">G295-F295</f>
        <v>474.7423890259297</v>
      </c>
      <c r="H316" s="90">
        <f t="shared" si="143"/>
        <v>489.36905776209915</v>
      </c>
      <c r="I316" s="90">
        <f t="shared" si="143"/>
        <v>441.64434208549847</v>
      </c>
      <c r="J316" s="90">
        <f t="shared" si="143"/>
        <v>469.27590383700135</v>
      </c>
    </row>
    <row r="317" spans="2:10" outlineLevel="1" x14ac:dyDescent="0.3">
      <c r="B317" t="s">
        <v>285</v>
      </c>
      <c r="E317" s="183"/>
      <c r="F317" s="90">
        <f>F300-E300</f>
        <v>346.78325513828668</v>
      </c>
      <c r="G317" s="90">
        <f t="shared" ref="G317:J317" si="144">G300-F300</f>
        <v>383.60045924331871</v>
      </c>
      <c r="H317" s="90">
        <f t="shared" si="144"/>
        <v>417.43537141526758</v>
      </c>
      <c r="I317" s="90">
        <f t="shared" si="144"/>
        <v>411.14285054144966</v>
      </c>
      <c r="J317" s="90">
        <f t="shared" si="144"/>
        <v>450.43367034156563</v>
      </c>
    </row>
    <row r="318" spans="2:10" outlineLevel="1" x14ac:dyDescent="0.3">
      <c r="B318" t="s">
        <v>286</v>
      </c>
      <c r="E318" s="183"/>
      <c r="F318" s="70">
        <f>F305-E305</f>
        <v>26.895818230994678</v>
      </c>
      <c r="G318" s="70">
        <f t="shared" ref="G318:J318" si="145">G305-F305</f>
        <v>29.751287215468835</v>
      </c>
      <c r="H318" s="70">
        <f t="shared" si="145"/>
        <v>32.37545558044809</v>
      </c>
      <c r="I318" s="70">
        <f t="shared" si="145"/>
        <v>31.887420200627105</v>
      </c>
      <c r="J318" s="70">
        <f t="shared" si="145"/>
        <v>34.934737889219946</v>
      </c>
    </row>
    <row r="319" spans="2:10" outlineLevel="1" x14ac:dyDescent="0.3">
      <c r="B319" s="61" t="s">
        <v>37</v>
      </c>
      <c r="C319" s="61"/>
      <c r="D319" s="61"/>
      <c r="E319" s="184"/>
      <c r="F319" s="90">
        <f>SUM(F316:F318)</f>
        <v>815.5622305403557</v>
      </c>
      <c r="G319" s="90">
        <f t="shared" ref="G319:J319" si="146">SUM(G316:G318)</f>
        <v>888.0941354847173</v>
      </c>
      <c r="H319" s="90">
        <f t="shared" si="146"/>
        <v>939.17988475781476</v>
      </c>
      <c r="I319" s="90">
        <f t="shared" si="146"/>
        <v>884.67461282757517</v>
      </c>
      <c r="J319" s="90">
        <f t="shared" si="146"/>
        <v>954.64431206778693</v>
      </c>
    </row>
    <row r="320" spans="2:10" x14ac:dyDescent="0.3">
      <c r="E320" s="183"/>
      <c r="F320" s="183"/>
      <c r="G320" s="183"/>
      <c r="H320" s="183"/>
      <c r="I320" s="183"/>
      <c r="J320" s="183"/>
    </row>
    <row r="321" spans="1:10" x14ac:dyDescent="0.3">
      <c r="B321" s="55" t="s">
        <v>287</v>
      </c>
      <c r="C321" s="55"/>
      <c r="D321" s="55"/>
      <c r="E321" s="185"/>
      <c r="F321" s="126">
        <f>F314-F319</f>
        <v>514.49445126856256</v>
      </c>
      <c r="G321" s="126">
        <f t="shared" ref="G321:J321" si="147">G314-G319</f>
        <v>570.19215793921308</v>
      </c>
      <c r="H321" s="126">
        <f t="shared" si="147"/>
        <v>622.56916172190472</v>
      </c>
      <c r="I321" s="126">
        <f t="shared" si="147"/>
        <v>616.27046624751506</v>
      </c>
      <c r="J321" s="126">
        <f t="shared" si="147"/>
        <v>676.27900590314391</v>
      </c>
    </row>
    <row r="322" spans="1:10" x14ac:dyDescent="0.3">
      <c r="E322" s="183"/>
      <c r="F322" s="183"/>
      <c r="G322" s="183"/>
      <c r="H322" s="183"/>
      <c r="I322" s="183"/>
      <c r="J322" s="183"/>
    </row>
    <row r="323" spans="1:10" ht="18" x14ac:dyDescent="0.35">
      <c r="A323" t="s">
        <v>52</v>
      </c>
      <c r="B323" s="76" t="s">
        <v>222</v>
      </c>
      <c r="C323" s="48"/>
      <c r="D323" s="48"/>
      <c r="E323" s="48"/>
      <c r="F323" s="48"/>
      <c r="G323" s="48"/>
      <c r="H323" s="48"/>
      <c r="I323" s="48"/>
      <c r="J323" s="48"/>
    </row>
    <row r="324" spans="1:10" outlineLevel="1" x14ac:dyDescent="0.3"/>
    <row r="325" spans="1:10" outlineLevel="1" x14ac:dyDescent="0.3">
      <c r="B325" t="s">
        <v>223</v>
      </c>
      <c r="F325" s="90">
        <f>E328</f>
        <v>6193.5999999999995</v>
      </c>
      <c r="G325" s="90">
        <f t="shared" ref="G325" si="148">F328</f>
        <v>6613.5999999999995</v>
      </c>
      <c r="H325" s="90">
        <f t="shared" ref="H325" si="149">G328</f>
        <v>6983.5999999999995</v>
      </c>
      <c r="I325" s="90">
        <f t="shared" ref="I325" si="150">H328</f>
        <v>6853.5999999999995</v>
      </c>
      <c r="J325" s="90">
        <f t="shared" ref="J325" si="151">I328</f>
        <v>6723.5999999999995</v>
      </c>
    </row>
    <row r="326" spans="1:10" outlineLevel="1" x14ac:dyDescent="0.3">
      <c r="B326" s="119" t="s">
        <v>224</v>
      </c>
      <c r="C326" s="195">
        <v>10</v>
      </c>
      <c r="F326" s="141">
        <f>ControlSheet!G229</f>
        <v>500</v>
      </c>
      <c r="G326" s="141">
        <f>ControlSheet!H229</f>
        <v>500</v>
      </c>
      <c r="H326" s="141">
        <f>ControlSheet!I229</f>
        <v>0</v>
      </c>
      <c r="I326" s="141">
        <f>ControlSheet!J229</f>
        <v>0</v>
      </c>
      <c r="J326" s="141">
        <f>ControlSheet!K229</f>
        <v>0</v>
      </c>
    </row>
    <row r="327" spans="1:10" outlineLevel="1" x14ac:dyDescent="0.3">
      <c r="B327" s="119" t="s">
        <v>225</v>
      </c>
      <c r="F327" s="90">
        <f>F340</f>
        <v>80</v>
      </c>
      <c r="G327" s="90">
        <f t="shared" ref="G327:J327" si="152">G340</f>
        <v>130</v>
      </c>
      <c r="H327" s="90">
        <f t="shared" si="152"/>
        <v>130</v>
      </c>
      <c r="I327" s="90">
        <f t="shared" si="152"/>
        <v>130</v>
      </c>
      <c r="J327" s="90">
        <f t="shared" si="152"/>
        <v>130</v>
      </c>
    </row>
    <row r="328" spans="1:10" outlineLevel="1" x14ac:dyDescent="0.3">
      <c r="B328" s="96" t="s">
        <v>226</v>
      </c>
      <c r="C328" s="95"/>
      <c r="D328" s="95"/>
      <c r="E328" s="121">
        <f>' Balance Sheet'!G31</f>
        <v>6193.5999999999995</v>
      </c>
      <c r="F328" s="122">
        <f>F325+F326-F327</f>
        <v>6613.5999999999995</v>
      </c>
      <c r="G328" s="122">
        <f t="shared" ref="G328:J328" si="153">G325+G326-G327</f>
        <v>6983.5999999999995</v>
      </c>
      <c r="H328" s="122">
        <f t="shared" si="153"/>
        <v>6853.5999999999995</v>
      </c>
      <c r="I328" s="122">
        <f t="shared" si="153"/>
        <v>6723.5999999999995</v>
      </c>
      <c r="J328" s="122">
        <f t="shared" si="153"/>
        <v>6593.5999999999995</v>
      </c>
    </row>
    <row r="329" spans="1:10" outlineLevel="1" x14ac:dyDescent="0.3">
      <c r="B329" s="55" t="s">
        <v>227</v>
      </c>
      <c r="C329" s="55"/>
      <c r="D329" s="55"/>
      <c r="E329" s="55"/>
      <c r="F329" s="97">
        <f>F328/E328-1</f>
        <v>6.7811934900542603E-2</v>
      </c>
      <c r="G329" s="97">
        <f t="shared" ref="G329:J329" si="154">G328/F328-1</f>
        <v>5.5945324785291017E-2</v>
      </c>
      <c r="H329" s="97">
        <f t="shared" si="154"/>
        <v>-1.8615040953090078E-2</v>
      </c>
      <c r="I329" s="97">
        <f t="shared" si="154"/>
        <v>-1.896813353566007E-2</v>
      </c>
      <c r="J329" s="97">
        <f t="shared" si="154"/>
        <v>-1.9334880123743181E-2</v>
      </c>
    </row>
    <row r="330" spans="1:10" outlineLevel="1" x14ac:dyDescent="0.3">
      <c r="B330" s="55" t="s">
        <v>228</v>
      </c>
      <c r="C330" s="55"/>
      <c r="D330" s="55"/>
      <c r="E330" s="55"/>
      <c r="F330" s="126">
        <f>IF(F328&gt;E328,F328-E328,0)</f>
        <v>420</v>
      </c>
      <c r="G330" s="126">
        <f t="shared" ref="G330:J330" si="155">IF(G328&gt;F328,G328-F328,0)</f>
        <v>370</v>
      </c>
      <c r="H330" s="126">
        <f t="shared" si="155"/>
        <v>0</v>
      </c>
      <c r="I330" s="126">
        <f t="shared" si="155"/>
        <v>0</v>
      </c>
      <c r="J330" s="126">
        <f t="shared" si="155"/>
        <v>0</v>
      </c>
    </row>
    <row r="331" spans="1:10" outlineLevel="1" x14ac:dyDescent="0.3"/>
    <row r="332" spans="1:10" outlineLevel="1" x14ac:dyDescent="0.3">
      <c r="B332" s="94" t="s">
        <v>229</v>
      </c>
    </row>
    <row r="333" spans="1:10" outlineLevel="1" x14ac:dyDescent="0.3"/>
    <row r="334" spans="1:10" outlineLevel="1" x14ac:dyDescent="0.3">
      <c r="B334" s="124">
        <f>E9</f>
        <v>2023</v>
      </c>
      <c r="E334" s="141">
        <v>30</v>
      </c>
      <c r="F334" s="90">
        <f>E334</f>
        <v>30</v>
      </c>
      <c r="G334" s="90">
        <f t="shared" ref="G334:J334" si="156">F334</f>
        <v>30</v>
      </c>
      <c r="H334" s="90">
        <f t="shared" si="156"/>
        <v>30</v>
      </c>
      <c r="I334" s="90">
        <f t="shared" si="156"/>
        <v>30</v>
      </c>
      <c r="J334" s="90">
        <f t="shared" si="156"/>
        <v>30</v>
      </c>
    </row>
    <row r="335" spans="1:10" outlineLevel="1" x14ac:dyDescent="0.3">
      <c r="B335" s="124">
        <f>B334+1</f>
        <v>2024</v>
      </c>
      <c r="E335" s="126"/>
      <c r="F335" s="90">
        <f>F326/C326</f>
        <v>50</v>
      </c>
      <c r="G335" s="90">
        <f>F335</f>
        <v>50</v>
      </c>
      <c r="H335" s="90">
        <f t="shared" ref="H335:J335" si="157">G335</f>
        <v>50</v>
      </c>
      <c r="I335" s="90">
        <f t="shared" si="157"/>
        <v>50</v>
      </c>
      <c r="J335" s="90">
        <f t="shared" si="157"/>
        <v>50</v>
      </c>
    </row>
    <row r="336" spans="1:10" outlineLevel="1" x14ac:dyDescent="0.3">
      <c r="B336" s="124">
        <f t="shared" ref="B336:B339" si="158">B335+1</f>
        <v>2025</v>
      </c>
      <c r="E336" s="126"/>
      <c r="F336" s="126"/>
      <c r="G336" s="90">
        <f>G326/C326</f>
        <v>50</v>
      </c>
      <c r="H336" s="90">
        <f>G336</f>
        <v>50</v>
      </c>
      <c r="I336" s="90">
        <f t="shared" ref="I336:J336" si="159">H336</f>
        <v>50</v>
      </c>
      <c r="J336" s="90">
        <f t="shared" si="159"/>
        <v>50</v>
      </c>
    </row>
    <row r="337" spans="1:11" outlineLevel="1" x14ac:dyDescent="0.3">
      <c r="B337" s="124">
        <f t="shared" si="158"/>
        <v>2026</v>
      </c>
      <c r="E337" s="126"/>
      <c r="F337" s="126"/>
      <c r="G337" s="126"/>
      <c r="H337" s="90">
        <v>0</v>
      </c>
      <c r="I337" s="90">
        <v>0</v>
      </c>
      <c r="J337" s="90">
        <v>0</v>
      </c>
    </row>
    <row r="338" spans="1:11" outlineLevel="1" x14ac:dyDescent="0.3">
      <c r="B338" s="124">
        <f t="shared" si="158"/>
        <v>2027</v>
      </c>
      <c r="E338" s="126"/>
      <c r="F338" s="126"/>
      <c r="G338" s="126"/>
      <c r="H338" s="126"/>
      <c r="I338" s="90">
        <v>0</v>
      </c>
      <c r="J338" s="90">
        <v>0</v>
      </c>
    </row>
    <row r="339" spans="1:11" outlineLevel="1" x14ac:dyDescent="0.3">
      <c r="B339" s="124">
        <f t="shared" si="158"/>
        <v>2028</v>
      </c>
      <c r="E339" s="126"/>
      <c r="F339" s="126"/>
      <c r="G339" s="126"/>
      <c r="H339" s="126"/>
      <c r="I339" s="126"/>
      <c r="J339" s="90">
        <v>0</v>
      </c>
    </row>
    <row r="340" spans="1:11" outlineLevel="1" x14ac:dyDescent="0.3">
      <c r="B340" s="61" t="s">
        <v>230</v>
      </c>
      <c r="C340" s="61"/>
      <c r="D340" s="61"/>
      <c r="E340" s="66">
        <f>SUM(E334:E339)</f>
        <v>30</v>
      </c>
      <c r="F340" s="66">
        <f t="shared" ref="F340:J340" si="160">SUM(F334:F339)</f>
        <v>80</v>
      </c>
      <c r="G340" s="66">
        <f t="shared" si="160"/>
        <v>130</v>
      </c>
      <c r="H340" s="66">
        <f t="shared" si="160"/>
        <v>130</v>
      </c>
      <c r="I340" s="66">
        <f t="shared" si="160"/>
        <v>130</v>
      </c>
      <c r="J340" s="66">
        <f t="shared" si="160"/>
        <v>130</v>
      </c>
    </row>
    <row r="342" spans="1:11" ht="18" x14ac:dyDescent="0.35">
      <c r="A342" t="s">
        <v>52</v>
      </c>
      <c r="B342" s="76" t="s">
        <v>231</v>
      </c>
      <c r="C342" s="48"/>
      <c r="D342" s="48"/>
      <c r="E342" s="48"/>
      <c r="F342" s="48"/>
      <c r="G342" s="48"/>
      <c r="H342" s="48"/>
      <c r="I342" s="48"/>
      <c r="J342" s="48"/>
    </row>
    <row r="344" spans="1:11" x14ac:dyDescent="0.3">
      <c r="B344" t="s">
        <v>232</v>
      </c>
      <c r="E344" s="143">
        <v>0.06</v>
      </c>
      <c r="F344" s="130">
        <f>E344+F348</f>
        <v>6.2E-2</v>
      </c>
      <c r="G344" s="130">
        <f t="shared" ref="G344:I344" si="161">F344+G348</f>
        <v>6.4000000000000001E-2</v>
      </c>
      <c r="H344" s="130">
        <f t="shared" si="161"/>
        <v>6.6000000000000003E-2</v>
      </c>
      <c r="I344" s="130">
        <f t="shared" si="161"/>
        <v>6.8000000000000005E-2</v>
      </c>
      <c r="J344" s="130">
        <f>I344+J348</f>
        <v>7.0000000000000007E-2</v>
      </c>
    </row>
    <row r="345" spans="1:11" x14ac:dyDescent="0.3">
      <c r="B345" t="s">
        <v>233</v>
      </c>
      <c r="E345" s="143">
        <v>0.04</v>
      </c>
      <c r="F345" s="142">
        <v>0.04</v>
      </c>
      <c r="G345" s="142">
        <v>0.04</v>
      </c>
      <c r="H345" s="142">
        <v>0.04</v>
      </c>
      <c r="I345" s="142">
        <v>0.04</v>
      </c>
      <c r="J345" s="142">
        <v>0.04</v>
      </c>
    </row>
    <row r="346" spans="1:11" x14ac:dyDescent="0.3">
      <c r="B346" s="64" t="s">
        <v>234</v>
      </c>
      <c r="C346" s="64"/>
      <c r="D346" s="64"/>
      <c r="E346" s="144">
        <f>SUM(E344:E345)</f>
        <v>0.1</v>
      </c>
      <c r="F346" s="144">
        <f t="shared" ref="F346:J346" si="162">SUM(F344:F345)</f>
        <v>0.10200000000000001</v>
      </c>
      <c r="G346" s="144">
        <f t="shared" si="162"/>
        <v>0.10400000000000001</v>
      </c>
      <c r="H346" s="144">
        <f t="shared" si="162"/>
        <v>0.10600000000000001</v>
      </c>
      <c r="I346" s="144">
        <f t="shared" si="162"/>
        <v>0.10800000000000001</v>
      </c>
      <c r="J346" s="144">
        <f t="shared" si="162"/>
        <v>0.11000000000000001</v>
      </c>
    </row>
    <row r="348" spans="1:11" x14ac:dyDescent="0.3">
      <c r="B348" s="55" t="s">
        <v>235</v>
      </c>
      <c r="C348" s="55"/>
      <c r="D348" s="55"/>
      <c r="E348" s="55"/>
      <c r="F348" s="145">
        <f>ControlSheet!G237</f>
        <v>2E-3</v>
      </c>
      <c r="G348" s="145">
        <f>ControlSheet!H237</f>
        <v>2E-3</v>
      </c>
      <c r="H348" s="145">
        <f>ControlSheet!I237</f>
        <v>2E-3</v>
      </c>
      <c r="I348" s="145">
        <f>ControlSheet!J237</f>
        <v>2E-3</v>
      </c>
      <c r="J348" s="145">
        <f>ControlSheet!K237</f>
        <v>2E-3</v>
      </c>
    </row>
    <row r="349" spans="1:11" x14ac:dyDescent="0.3">
      <c r="F349" s="188"/>
      <c r="G349" s="188"/>
      <c r="H349" s="188"/>
      <c r="I349" s="188"/>
      <c r="J349" s="188"/>
    </row>
    <row r="350" spans="1:11" x14ac:dyDescent="0.3">
      <c r="B350" t="s">
        <v>298</v>
      </c>
      <c r="E350" s="193">
        <v>6.5000000000000002E-2</v>
      </c>
      <c r="F350" s="193">
        <v>6.5000000000000002E-2</v>
      </c>
      <c r="G350" s="193">
        <v>6.5000000000000002E-2</v>
      </c>
      <c r="H350" s="193">
        <v>6.5000000000000002E-2</v>
      </c>
      <c r="I350" s="193">
        <v>6.5000000000000002E-2</v>
      </c>
      <c r="J350" s="193">
        <v>6.5000000000000002E-2</v>
      </c>
      <c r="K350" s="192"/>
    </row>
    <row r="351" spans="1:11" x14ac:dyDescent="0.3">
      <c r="F351" s="188"/>
      <c r="G351" s="188"/>
      <c r="H351" s="188"/>
      <c r="I351" s="188"/>
      <c r="J351" s="188"/>
    </row>
    <row r="352" spans="1:11" x14ac:dyDescent="0.3">
      <c r="B352" t="s">
        <v>236</v>
      </c>
      <c r="E352" s="120">
        <f>' Income Statement'!G17*-1</f>
        <v>278.71199999999999</v>
      </c>
      <c r="F352" s="90">
        <f>AVERAGE(F325,F328)*F346</f>
        <v>653.16719999999998</v>
      </c>
      <c r="G352" s="90">
        <f t="shared" ref="G352:J352" si="163">AVERAGE(G325,G328)*G346</f>
        <v>707.05439999999999</v>
      </c>
      <c r="H352" s="90">
        <f t="shared" si="163"/>
        <v>733.37160000000006</v>
      </c>
      <c r="I352" s="90">
        <f t="shared" si="163"/>
        <v>733.16880000000003</v>
      </c>
      <c r="J352" s="90">
        <f t="shared" si="163"/>
        <v>732.44600000000003</v>
      </c>
    </row>
    <row r="353" spans="2:10" x14ac:dyDescent="0.3">
      <c r="B353" t="s">
        <v>298</v>
      </c>
      <c r="F353" s="191">
        <f>AVERAGE(F242,E242)*F350</f>
        <v>0</v>
      </c>
      <c r="G353" s="191">
        <f>AVERAGE(G242,F242)*G350</f>
        <v>0</v>
      </c>
      <c r="H353" s="191">
        <f>AVERAGE(H242,G242)*H350</f>
        <v>0</v>
      </c>
      <c r="I353" s="191">
        <f>AVERAGE(I242,H242)*I350</f>
        <v>0</v>
      </c>
      <c r="J353" s="191">
        <f>AVERAGE(J242,I242)*J350</f>
        <v>0</v>
      </c>
    </row>
    <row r="354" spans="2:10" x14ac:dyDescent="0.3">
      <c r="B354" s="61" t="s">
        <v>299</v>
      </c>
      <c r="C354" s="61"/>
      <c r="D354" s="61"/>
      <c r="E354" s="66">
        <f>SUM(E352:E353)</f>
        <v>278.71199999999999</v>
      </c>
      <c r="F354" s="66">
        <f t="shared" ref="F354:J354" si="164">SUM(F352:F353)</f>
        <v>653.16719999999998</v>
      </c>
      <c r="G354" s="66">
        <f t="shared" si="164"/>
        <v>707.05439999999999</v>
      </c>
      <c r="H354" s="66">
        <f t="shared" si="164"/>
        <v>733.37160000000006</v>
      </c>
      <c r="I354" s="66">
        <f t="shared" si="164"/>
        <v>733.16880000000003</v>
      </c>
      <c r="J354" s="66">
        <f t="shared" si="164"/>
        <v>732.44600000000003</v>
      </c>
    </row>
  </sheetData>
  <mergeCells count="1">
    <mergeCell ref="F8:J8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Drop Down 1">
              <controlPr defaultSize="0" autoLine="0" autoPict="0">
                <anchor moveWithCells="1">
                  <from>
                    <xdr:col>5</xdr:col>
                    <xdr:colOff>38100</xdr:colOff>
                    <xdr:row>2</xdr:row>
                    <xdr:rowOff>198120</xdr:rowOff>
                  </from>
                  <to>
                    <xdr:col>6</xdr:col>
                    <xdr:colOff>373380</xdr:colOff>
                    <xdr:row>3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5CF2-E8DD-4CCD-9D6A-65A13016C858}">
  <dimension ref="A2:O116"/>
  <sheetViews>
    <sheetView showGridLines="0" zoomScale="115" zoomScaleNormal="115" workbookViewId="0">
      <pane xSplit="1" ySplit="9" topLeftCell="B112" activePane="bottomRight" state="frozen"/>
      <selection pane="topRight" activeCell="B1" sqref="B1"/>
      <selection pane="bottomLeft" activeCell="A10" sqref="A10"/>
      <selection pane="bottomRight" activeCell="B82" sqref="B82:K83"/>
    </sheetView>
  </sheetViews>
  <sheetFormatPr defaultRowHeight="14.4" customHeight="1" x14ac:dyDescent="0.3"/>
  <cols>
    <col min="1" max="1" width="1.88671875" customWidth="1"/>
    <col min="2" max="2" width="41.33203125" customWidth="1"/>
    <col min="3" max="3" width="18.88671875" bestFit="1" customWidth="1"/>
    <col min="4" max="4" width="18.88671875" customWidth="1"/>
    <col min="5" max="11" width="12.77734375" customWidth="1"/>
    <col min="12" max="12" width="1.88671875" customWidth="1"/>
    <col min="13" max="13" width="8.88671875" customWidth="1"/>
    <col min="16" max="16" width="12.77734375" customWidth="1"/>
  </cols>
  <sheetData>
    <row r="2" spans="1:14" ht="19.95" customHeight="1" x14ac:dyDescent="0.45">
      <c r="B2" s="47" t="s">
        <v>47</v>
      </c>
      <c r="C2" s="44"/>
      <c r="D2" s="44"/>
    </row>
    <row r="3" spans="1:14" ht="14.4" customHeight="1" x14ac:dyDescent="0.35">
      <c r="B3" s="46" t="s">
        <v>237</v>
      </c>
    </row>
    <row r="4" spans="1:14" ht="14.4" customHeight="1" x14ac:dyDescent="0.3">
      <c r="F4" t="s">
        <v>59</v>
      </c>
      <c r="G4">
        <v>1</v>
      </c>
    </row>
    <row r="5" spans="1:14" ht="14.4" customHeight="1" x14ac:dyDescent="0.3">
      <c r="I5" s="202">
        <f>G49/G62</f>
        <v>9.1450865583657989E-2</v>
      </c>
    </row>
    <row r="7" spans="1:14" ht="14.4" customHeight="1" x14ac:dyDescent="0.3">
      <c r="M7" s="237" t="s">
        <v>247</v>
      </c>
      <c r="N7" s="237"/>
    </row>
    <row r="8" spans="1:14" ht="14.4" customHeight="1" x14ac:dyDescent="0.3">
      <c r="D8" s="236" t="s">
        <v>50</v>
      </c>
      <c r="E8" s="236"/>
      <c r="F8" s="236"/>
      <c r="G8" s="235" t="s">
        <v>51</v>
      </c>
      <c r="H8" s="235"/>
      <c r="I8" s="235"/>
      <c r="J8" s="235"/>
      <c r="K8" s="235"/>
      <c r="M8" s="131" t="s">
        <v>245</v>
      </c>
      <c r="N8" s="131" t="s">
        <v>246</v>
      </c>
    </row>
    <row r="9" spans="1:14" ht="14.4" customHeight="1" x14ac:dyDescent="0.3">
      <c r="B9" s="81" t="s">
        <v>49</v>
      </c>
      <c r="C9" s="45"/>
      <c r="D9" s="167">
        <v>2021</v>
      </c>
      <c r="E9" s="146">
        <f>D9+1</f>
        <v>2022</v>
      </c>
      <c r="F9" s="146">
        <f t="shared" ref="F9:K9" si="0">E9+1</f>
        <v>2023</v>
      </c>
      <c r="G9" s="146">
        <f t="shared" si="0"/>
        <v>2024</v>
      </c>
      <c r="H9" s="146">
        <f t="shared" si="0"/>
        <v>2025</v>
      </c>
      <c r="I9" s="146">
        <f t="shared" si="0"/>
        <v>2026</v>
      </c>
      <c r="J9" s="146">
        <f t="shared" si="0"/>
        <v>2027</v>
      </c>
      <c r="K9" s="146">
        <f t="shared" si="0"/>
        <v>2028</v>
      </c>
    </row>
    <row r="10" spans="1:14" ht="14.4" customHeight="1" x14ac:dyDescent="0.3">
      <c r="B10" s="150"/>
      <c r="D10" s="151"/>
      <c r="E10" s="151"/>
      <c r="F10" s="151"/>
      <c r="G10" s="151"/>
      <c r="H10" s="151"/>
      <c r="I10" s="151"/>
      <c r="J10" s="151"/>
      <c r="K10" s="151"/>
    </row>
    <row r="11" spans="1:14" s="44" customFormat="1" ht="18" customHeight="1" x14ac:dyDescent="0.35">
      <c r="A11" s="44" t="s">
        <v>52</v>
      </c>
      <c r="B11" s="76" t="s">
        <v>254</v>
      </c>
      <c r="C11" s="168"/>
      <c r="D11" s="169"/>
      <c r="E11" s="169"/>
      <c r="F11" s="169"/>
      <c r="G11" s="169"/>
      <c r="H11" s="169"/>
      <c r="I11" s="169"/>
      <c r="J11" s="169"/>
      <c r="K11" s="169"/>
      <c r="N11"/>
    </row>
    <row r="13" spans="1:14" ht="14.4" customHeight="1" x14ac:dyDescent="0.3">
      <c r="B13" s="152" t="s">
        <v>200</v>
      </c>
      <c r="D13" s="147">
        <f>INDEX(' Income Statement'!$E$8:$G$27,MATCH('3 Statement Model'!$B13,' Income Statement'!$B$8:$B$27,0),MATCH('3 Statement Model'!D$9,' Income Statement'!$E$6:$G$6,0))</f>
        <v>47325.572</v>
      </c>
      <c r="E13" s="147">
        <f>INDEX(' Income Statement'!$E$8:$G$27,MATCH('3 Statement Model'!$B13,' Income Statement'!$B$8:$B$27,0),MATCH('3 Statement Model'!E$9,' Income Statement'!$E$6:$G$6,0))</f>
        <v>52562.985999999997</v>
      </c>
      <c r="F13" s="147">
        <f>INDEX(' Income Statement'!$E$8:$G$27,MATCH('3 Statement Model'!$B13,' Income Statement'!$B$8:$B$27,0),MATCH('3 Statement Model'!F$9,' Income Statement'!$E$6:$G$6,0))</f>
        <v>58055.611599999997</v>
      </c>
      <c r="G13" s="147">
        <f>Schedules!F44</f>
        <v>64026.885000000002</v>
      </c>
      <c r="H13" s="147">
        <f>Schedules!G44</f>
        <v>70682.569249500011</v>
      </c>
      <c r="I13" s="147">
        <f>Schedules!H44</f>
        <v>77925.30830198506</v>
      </c>
      <c r="J13" s="147">
        <f>Schedules!I44</f>
        <v>85058.868569459955</v>
      </c>
      <c r="K13" s="147">
        <f>Schedules!J44</f>
        <v>92874.146713418682</v>
      </c>
      <c r="M13" s="108">
        <f>_xlfn.RRI($K$9-$F$9,F13,K13)</f>
        <v>9.8525459009887406E-2</v>
      </c>
      <c r="N13" s="108">
        <f>_xlfn.RRI($K$9-$H$9,H13,K13)</f>
        <v>9.5285915716660341E-2</v>
      </c>
    </row>
    <row r="14" spans="1:14" ht="14.4" customHeight="1" x14ac:dyDescent="0.3">
      <c r="B14" s="154" t="s">
        <v>4</v>
      </c>
      <c r="D14" s="147">
        <f>INDEX(' Income Statement'!$E$8:$G$27,MATCH('3 Statement Model'!$B14,' Income Statement'!$B$8:$B$27,0),MATCH('3 Statement Model'!D$9,' Income Statement'!$E$6:$G$6,0))</f>
        <v>-24230.696</v>
      </c>
      <c r="E14" s="147">
        <f>INDEX(' Income Statement'!$E$8:$G$27,MATCH('3 Statement Model'!$B14,' Income Statement'!$B$8:$B$27,0),MATCH('3 Statement Model'!E$9,' Income Statement'!$E$6:$G$6,0))</f>
        <v>-26556.941599999998</v>
      </c>
      <c r="F14" s="147">
        <f>INDEX(' Income Statement'!$E$8:$G$27,MATCH('3 Statement Model'!$B14,' Income Statement'!$B$8:$B$27,0),MATCH('3 Statement Model'!F$9,' Income Statement'!$E$6:$G$6,0))</f>
        <v>-28130.3904</v>
      </c>
      <c r="G14" s="147">
        <f>Schedules!F128*-1</f>
        <v>-30164.898249999998</v>
      </c>
      <c r="H14" s="147">
        <f>Schedules!G128*-1</f>
        <v>-32368.842189125004</v>
      </c>
      <c r="I14" s="147">
        <f>Schedules!H128*-1</f>
        <v>-34640.688971256743</v>
      </c>
      <c r="J14" s="147">
        <f>Schedules!I128*-1</f>
        <v>-36690.978546167695</v>
      </c>
      <c r="K14" s="147">
        <f>Schedules!J128*-1</f>
        <v>-38869.544875921914</v>
      </c>
      <c r="M14" s="108">
        <f>_xlfn.RRI($K$9-$F$9,F14,K14)</f>
        <v>6.680916779047652E-2</v>
      </c>
      <c r="N14" s="108">
        <f>_xlfn.RRI($K$9-$H$9,H14,K14)</f>
        <v>6.2904135386754545E-2</v>
      </c>
    </row>
    <row r="15" spans="1:14" ht="14.4" customHeight="1" x14ac:dyDescent="0.3">
      <c r="B15" s="155" t="s">
        <v>5</v>
      </c>
      <c r="C15" s="64"/>
      <c r="D15" s="156">
        <f>SUM(D13:D14)</f>
        <v>23094.876</v>
      </c>
      <c r="E15" s="156">
        <f t="shared" ref="E15:F15" si="1">SUM(E13:E14)</f>
        <v>26006.044399999999</v>
      </c>
      <c r="F15" s="156">
        <f t="shared" si="1"/>
        <v>29925.221199999996</v>
      </c>
      <c r="G15" s="156">
        <f t="shared" ref="G15" si="2">SUM(G13:G14)</f>
        <v>33861.986750000004</v>
      </c>
      <c r="H15" s="156">
        <f t="shared" ref="H15" si="3">SUM(H13:H14)</f>
        <v>38313.727060375008</v>
      </c>
      <c r="I15" s="156">
        <f t="shared" ref="I15" si="4">SUM(I13:I14)</f>
        <v>43284.619330728317</v>
      </c>
      <c r="J15" s="156">
        <f t="shared" ref="J15" si="5">SUM(J13:J14)</f>
        <v>48367.890023292261</v>
      </c>
      <c r="K15" s="156">
        <f t="shared" ref="K15" si="6">SUM(K13:K14)</f>
        <v>54004.601837496768</v>
      </c>
      <c r="M15" s="108">
        <f>_xlfn.RRI($K$9-$F$9,F15,K15)</f>
        <v>0.12532684661304527</v>
      </c>
      <c r="N15" s="108">
        <f>_xlfn.RRI($K$9-$H$9,H15,K15)</f>
        <v>0.12122332133715541</v>
      </c>
    </row>
    <row r="16" spans="1:14" ht="14.4" customHeight="1" x14ac:dyDescent="0.3">
      <c r="B16" s="157"/>
      <c r="G16" s="153"/>
      <c r="H16" s="153"/>
      <c r="I16" s="153"/>
      <c r="J16" s="153"/>
      <c r="K16" s="153"/>
    </row>
    <row r="17" spans="2:14" ht="14.4" customHeight="1" x14ac:dyDescent="0.3">
      <c r="B17" s="158" t="s">
        <v>238</v>
      </c>
      <c r="G17" s="153"/>
      <c r="H17" s="153"/>
      <c r="I17" s="153"/>
      <c r="J17" s="153"/>
      <c r="K17" s="153"/>
    </row>
    <row r="18" spans="2:14" ht="14.4" customHeight="1" x14ac:dyDescent="0.3">
      <c r="B18" s="154" t="s">
        <v>7</v>
      </c>
      <c r="D18" s="147">
        <f>INDEX(' Income Statement'!$E$8:$G$27,MATCH('3 Statement Model'!$B18,' Income Statement'!$B$8:$B$27,0),MATCH('3 Statement Model'!D$9,' Income Statement'!$E$6:$G$6,0))</f>
        <v>-285.27800000000002</v>
      </c>
      <c r="E18" s="147">
        <f>INDEX(' Income Statement'!$E$8:$G$27,MATCH('3 Statement Model'!$B18,' Income Statement'!$B$8:$B$27,0),MATCH('3 Statement Model'!E$9,' Income Statement'!$E$6:$G$6,0))</f>
        <v>-314.77600000000001</v>
      </c>
      <c r="F18" s="147">
        <f>INDEX(' Income Statement'!$E$8:$G$27,MATCH('3 Statement Model'!$B18,' Income Statement'!$B$8:$B$27,0),MATCH('3 Statement Model'!F$9,' Income Statement'!$E$6:$G$6,0))</f>
        <v>-347.66479999999996</v>
      </c>
      <c r="G18" s="147">
        <f>Schedules!F172*-1</f>
        <v>-640.26885000000004</v>
      </c>
      <c r="H18" s="147">
        <f>Schedules!G172*-1</f>
        <v>-706.82569249500011</v>
      </c>
      <c r="I18" s="147">
        <f>Schedules!H172*-1</f>
        <v>-779.25308301985058</v>
      </c>
      <c r="J18" s="147">
        <f>Schedules!I172*-1</f>
        <v>-850.58868569459958</v>
      </c>
      <c r="K18" s="147">
        <f>Schedules!J172*-1</f>
        <v>-928.74146713418679</v>
      </c>
      <c r="M18" s="108">
        <f t="shared" ref="M18:M24" si="7">_xlfn.RRI($K$9-$F$9,F18,K18)</f>
        <v>0.21715762175856668</v>
      </c>
      <c r="N18" s="108">
        <f t="shared" ref="N18:N24" si="8">_xlfn.RRI($K$9-$H$9,H18,K18)</f>
        <v>9.5285915716660341E-2</v>
      </c>
    </row>
    <row r="19" spans="2:14" ht="14.4" customHeight="1" x14ac:dyDescent="0.3">
      <c r="B19" s="154" t="s">
        <v>10</v>
      </c>
      <c r="D19" s="147">
        <f>INDEX(' Income Statement'!$E$8:$G$27,MATCH('3 Statement Model'!$B19,' Income Statement'!$B$8:$B$27,0),MATCH('3 Statement Model'!D$9,' Income Statement'!$E$6:$G$6,0))</f>
        <v>-2602.8995999999997</v>
      </c>
      <c r="E19" s="147">
        <f>INDEX(' Income Statement'!$E$8:$G$27,MATCH('3 Statement Model'!$B19,' Income Statement'!$B$8:$B$27,0),MATCH('3 Statement Model'!E$9,' Income Statement'!$E$6:$G$6,0))</f>
        <v>-2733.2592</v>
      </c>
      <c r="F19" s="147">
        <f>INDEX(' Income Statement'!$E$8:$G$27,MATCH('3 Statement Model'!$B19,' Income Statement'!$B$8:$B$27,0),MATCH('3 Statement Model'!F$9,' Income Statement'!$E$6:$G$6,0))</f>
        <v>-2902.7795999999998</v>
      </c>
      <c r="G19" s="147">
        <f>Schedules!F183*-1</f>
        <v>-3420.2065499999999</v>
      </c>
      <c r="H19" s="147">
        <f>Schedules!G183*-1</f>
        <v>-3649.8650774850003</v>
      </c>
      <c r="I19" s="147">
        <f>Schedules!H183*-1</f>
        <v>-3897.7350090595519</v>
      </c>
      <c r="J19" s="147">
        <f>Schedules!I183*-1</f>
        <v>-4142.9413322837991</v>
      </c>
      <c r="K19" s="147">
        <f>Schedules!J183*-1</f>
        <v>-4409.2231821065607</v>
      </c>
      <c r="M19" s="108">
        <f t="shared" si="7"/>
        <v>8.7200401130502758E-2</v>
      </c>
      <c r="N19" s="108">
        <f t="shared" si="8"/>
        <v>6.5029793947141368E-2</v>
      </c>
    </row>
    <row r="20" spans="2:14" ht="14.4" customHeight="1" x14ac:dyDescent="0.3">
      <c r="B20" s="159" t="s">
        <v>11</v>
      </c>
      <c r="D20" s="147">
        <f>INDEX(' Income Statement'!$E$8:$G$27,MATCH('3 Statement Model'!$B20,' Income Statement'!$B$8:$B$27,0),MATCH('3 Statement Model'!D$9,' Income Statement'!$E$6:$G$6,0))</f>
        <v>-1183.1343999999999</v>
      </c>
      <c r="E20" s="147">
        <f>INDEX(' Income Statement'!$E$8:$G$27,MATCH('3 Statement Model'!$B20,' Income Statement'!$B$8:$B$27,0),MATCH('3 Statement Model'!E$9,' Income Statement'!$E$6:$G$6,0))</f>
        <v>-1314.0624</v>
      </c>
      <c r="F20" s="147">
        <f>INDEX(' Income Statement'!$E$8:$G$27,MATCH('3 Statement Model'!$B20,' Income Statement'!$B$8:$B$27,0),MATCH('3 Statement Model'!F$9,' Income Statement'!$E$6:$G$6,0))</f>
        <v>-1451.3799999999999</v>
      </c>
      <c r="G20" s="147">
        <f>Schedules!F177*-1</f>
        <v>-1600.6721250000001</v>
      </c>
      <c r="H20" s="147">
        <f>Schedules!G177*-1</f>
        <v>-1767.0642312375003</v>
      </c>
      <c r="I20" s="147">
        <f>Schedules!H177*-1</f>
        <v>-1948.1327075496265</v>
      </c>
      <c r="J20" s="147">
        <f>Schedules!I177*-1</f>
        <v>-2126.4717142364989</v>
      </c>
      <c r="K20" s="147">
        <f>Schedules!J177*-1</f>
        <v>-2321.8536678354671</v>
      </c>
      <c r="M20" s="108">
        <f t="shared" si="7"/>
        <v>9.8527016671549728E-2</v>
      </c>
      <c r="N20" s="108">
        <f t="shared" si="8"/>
        <v>9.5285915716660341E-2</v>
      </c>
    </row>
    <row r="21" spans="2:14" ht="14.4" customHeight="1" x14ac:dyDescent="0.3">
      <c r="B21" s="154" t="s">
        <v>12</v>
      </c>
      <c r="D21" s="147">
        <f>INDEX(' Income Statement'!$E$8:$G$27,MATCH('3 Statement Model'!$B21,' Income Statement'!$B$8:$B$27,0),MATCH('3 Statement Model'!D$9,' Income Statement'!$E$6:$G$6,0))</f>
        <v>-1216.9248</v>
      </c>
      <c r="E21" s="147">
        <f>INDEX(' Income Statement'!$E$8:$G$27,MATCH('3 Statement Model'!$B21,' Income Statement'!$B$8:$B$27,0),MATCH('3 Statement Model'!E$9,' Income Statement'!$E$6:$G$6,0))</f>
        <v>-1261.4952000000001</v>
      </c>
      <c r="F21" s="147">
        <f>INDEX(' Income Statement'!$E$8:$G$27,MATCH('3 Statement Model'!$B21,' Income Statement'!$B$8:$B$27,0),MATCH('3 Statement Model'!F$9,' Income Statement'!$E$6:$G$6,0))</f>
        <v>-1274</v>
      </c>
      <c r="G21" s="147">
        <f>Schedules!F158*-1</f>
        <v>-1274</v>
      </c>
      <c r="H21" s="147">
        <f>Schedules!G158*-1</f>
        <v>-1574</v>
      </c>
      <c r="I21" s="147">
        <f>Schedules!H158*-1</f>
        <v>-1574</v>
      </c>
      <c r="J21" s="147">
        <f>Schedules!I158*-1</f>
        <v>-1574</v>
      </c>
      <c r="K21" s="147">
        <f>Schedules!J158*-1</f>
        <v>-1574</v>
      </c>
      <c r="M21" s="108">
        <f t="shared" si="7"/>
        <v>4.3198754815103602E-2</v>
      </c>
      <c r="N21" s="108">
        <f t="shared" si="8"/>
        <v>0</v>
      </c>
    </row>
    <row r="22" spans="2:14" ht="14.4" customHeight="1" x14ac:dyDescent="0.3">
      <c r="B22" s="154" t="s">
        <v>13</v>
      </c>
      <c r="D22" s="147">
        <f>INDEX(' Income Statement'!$E$8:$G$27,MATCH('3 Statement Model'!$B22,' Income Statement'!$B$8:$B$27,0),MATCH('3 Statement Model'!D$9,' Income Statement'!$E$6:$G$6,0))</f>
        <v>-7098.8377599999994</v>
      </c>
      <c r="E22" s="147">
        <f>INDEX(' Income Statement'!$E$8:$G$27,MATCH('3 Statement Model'!$B22,' Income Statement'!$B$8:$B$27,0),MATCH('3 Statement Model'!E$9,' Income Statement'!$E$6:$G$6,0))</f>
        <v>-7884.4332000000004</v>
      </c>
      <c r="F22" s="147">
        <f>INDEX(' Income Statement'!$E$8:$G$27,MATCH('3 Statement Model'!$B22,' Income Statement'!$B$8:$B$27,0),MATCH('3 Statement Model'!F$9,' Income Statement'!$E$6:$G$6,0))</f>
        <v>-8708.3387999999995</v>
      </c>
      <c r="G22" s="147">
        <f>Schedules!F167*-1</f>
        <v>-9604.0327500000003</v>
      </c>
      <c r="H22" s="147">
        <f>Schedules!G167*-1</f>
        <v>-10602.385387425002</v>
      </c>
      <c r="I22" s="147">
        <f>Schedules!H167*-1</f>
        <v>-11688.796245297759</v>
      </c>
      <c r="J22" s="147">
        <f>Schedules!I167*-1</f>
        <v>-13609.418971113593</v>
      </c>
      <c r="K22" s="147">
        <f>Schedules!J167*-1</f>
        <v>-14859.863474146989</v>
      </c>
      <c r="M22" s="108">
        <f t="shared" si="7"/>
        <v>0.11279688288927026</v>
      </c>
      <c r="N22" s="108">
        <f t="shared" si="8"/>
        <v>0.11910390450864927</v>
      </c>
    </row>
    <row r="23" spans="2:14" ht="14.4" customHeight="1" x14ac:dyDescent="0.3">
      <c r="B23" s="154" t="s">
        <v>14</v>
      </c>
      <c r="D23" s="147">
        <f>INDEX(' Income Statement'!$E$8:$G$27,MATCH('3 Statement Model'!$B23,' Income Statement'!$B$8:$B$27,0),MATCH('3 Statement Model'!D$9,' Income Statement'!$E$6:$G$6,0))</f>
        <v>-4862.2699999999995</v>
      </c>
      <c r="E23" s="147">
        <f>INDEX(' Income Statement'!$E$8:$G$27,MATCH('3 Statement Model'!$B23,' Income Statement'!$B$8:$B$27,0),MATCH('3 Statement Model'!E$9,' Income Statement'!$E$6:$G$6,0))</f>
        <v>-5151.1543999999994</v>
      </c>
      <c r="F23" s="147">
        <f>INDEX(' Income Statement'!$E$8:$G$27,MATCH('3 Statement Model'!$B23,' Income Statement'!$B$8:$B$27,0),MATCH('3 Statement Model'!F$9,' Income Statement'!$E$6:$G$6,0))</f>
        <v>-5711.2831999999999</v>
      </c>
      <c r="G23" s="147">
        <f>Schedules!F162*-1</f>
        <v>-5762.4196499999998</v>
      </c>
      <c r="H23" s="147">
        <f>Schedules!G162*-1</f>
        <v>-6361.431232455001</v>
      </c>
      <c r="I23" s="147">
        <f>Schedules!H162*-1</f>
        <v>-7013.2777471786549</v>
      </c>
      <c r="J23" s="147">
        <f>Schedules!I162*-1</f>
        <v>-7655.2981712513956</v>
      </c>
      <c r="K23" s="147">
        <f>Schedules!J162*-1</f>
        <v>-8358.6732042076819</v>
      </c>
      <c r="M23" s="108">
        <f t="shared" si="7"/>
        <v>7.9147304025448229E-2</v>
      </c>
      <c r="N23" s="108">
        <f t="shared" si="8"/>
        <v>9.5285915716660341E-2</v>
      </c>
    </row>
    <row r="24" spans="2:14" ht="14.4" customHeight="1" x14ac:dyDescent="0.3">
      <c r="B24" s="160" t="s">
        <v>239</v>
      </c>
      <c r="C24" s="64"/>
      <c r="D24" s="148">
        <f>SUM(D15,D18:D23)</f>
        <v>5845.5314400000034</v>
      </c>
      <c r="E24" s="148">
        <f t="shared" ref="E24:G24" si="9">SUM(E15,E18:E23)</f>
        <v>7346.8639999999978</v>
      </c>
      <c r="F24" s="148">
        <f t="shared" si="9"/>
        <v>9529.7747999999992</v>
      </c>
      <c r="G24" s="148">
        <f t="shared" si="9"/>
        <v>11560.386825000005</v>
      </c>
      <c r="H24" s="148">
        <f t="shared" ref="H24" si="10">SUM(H15,H18:H23)</f>
        <v>13652.155439277507</v>
      </c>
      <c r="I24" s="148">
        <f t="shared" ref="I24" si="11">SUM(I15,I18:I23)</f>
        <v>16383.424538622879</v>
      </c>
      <c r="J24" s="148">
        <f t="shared" ref="J24" si="12">SUM(J15,J18:J23)</f>
        <v>18409.171148712376</v>
      </c>
      <c r="K24" s="148">
        <f t="shared" ref="K24" si="13">SUM(K15,K18:K23)</f>
        <v>21552.246842065884</v>
      </c>
      <c r="M24" s="108">
        <f t="shared" si="7"/>
        <v>0.17728600920787541</v>
      </c>
      <c r="N24" s="108">
        <f t="shared" si="8"/>
        <v>0.16438636008692575</v>
      </c>
    </row>
    <row r="25" spans="2:14" ht="14.4" customHeight="1" x14ac:dyDescent="0.3">
      <c r="B25" s="161"/>
      <c r="D25" s="153"/>
      <c r="E25" s="153"/>
      <c r="F25" s="153"/>
      <c r="G25" s="153"/>
      <c r="H25" s="153"/>
      <c r="I25" s="153"/>
      <c r="J25" s="153"/>
      <c r="K25" s="153"/>
    </row>
    <row r="26" spans="2:14" ht="14.4" customHeight="1" x14ac:dyDescent="0.3">
      <c r="B26" s="161" t="s">
        <v>202</v>
      </c>
      <c r="D26" s="153"/>
      <c r="E26" s="153"/>
      <c r="F26" s="153"/>
      <c r="G26" s="153"/>
      <c r="H26" s="153"/>
      <c r="I26" s="153"/>
      <c r="J26" s="153"/>
      <c r="K26" s="153"/>
    </row>
    <row r="27" spans="2:14" ht="14.4" customHeight="1" x14ac:dyDescent="0.3">
      <c r="B27" s="154" t="s">
        <v>8</v>
      </c>
      <c r="D27" s="147">
        <f>INDEX(' Income Statement'!$E$8:$G$27,MATCH('3 Statement Model'!$B27,' Income Statement'!$B$8:$B$27,0),MATCH('3 Statement Model'!D$9,' Income Statement'!$E$6:$G$6,0))</f>
        <v>-716.08600000000001</v>
      </c>
      <c r="E27" s="147">
        <f>INDEX(' Income Statement'!$E$8:$G$27,MATCH('3 Statement Model'!$B27,' Income Statement'!$B$8:$B$27,0),MATCH('3 Statement Model'!E$9,' Income Statement'!$E$6:$G$6,0))</f>
        <v>-735.86239999999998</v>
      </c>
      <c r="F27" s="147">
        <f>INDEX(' Income Statement'!$E$8:$G$27,MATCH('3 Statement Model'!$B27,' Income Statement'!$B$8:$B$27,0),MATCH('3 Statement Model'!F$9,' Income Statement'!$E$6:$G$6,0))</f>
        <v>-783.37279999999998</v>
      </c>
      <c r="G27" s="147">
        <f>Schedules!F224*-1</f>
        <v>-1103.5072250000001</v>
      </c>
      <c r="H27" s="147">
        <f>Schedules!G224*-1</f>
        <v>-1456.9200712475001</v>
      </c>
      <c r="I27" s="147">
        <f>Schedules!H224*-1</f>
        <v>-1846.5466127574255</v>
      </c>
      <c r="J27" s="147">
        <f>Schedules!I224*-1</f>
        <v>-2271.8409556047254</v>
      </c>
      <c r="K27" s="147">
        <f>Schedules!J224*-1</f>
        <v>-2736.2116891718188</v>
      </c>
      <c r="M27" s="108">
        <f t="shared" ref="M27:M29" si="14">_xlfn.RRI($K$9-$F$9,F27,K27)</f>
        <v>0.28421057297873764</v>
      </c>
      <c r="N27" s="108">
        <f t="shared" ref="N27:N29" si="15">_xlfn.RRI($K$9-$H$9,H27,K27)</f>
        <v>0.2337807478921583</v>
      </c>
    </row>
    <row r="28" spans="2:14" ht="14.4" customHeight="1" x14ac:dyDescent="0.3">
      <c r="B28" s="154" t="s">
        <v>9</v>
      </c>
      <c r="D28" s="147">
        <f>INDEX(' Income Statement'!$E$8:$G$27,MATCH('3 Statement Model'!$B28,' Income Statement'!$B$8:$B$27,0),MATCH('3 Statement Model'!D$9,' Income Statement'!$E$6:$G$6,0))</f>
        <v>-294.41160000000002</v>
      </c>
      <c r="E28" s="147">
        <f>INDEX(' Income Statement'!$E$8:$G$27,MATCH('3 Statement Model'!$B28,' Income Statement'!$B$8:$B$27,0),MATCH('3 Statement Model'!E$9,' Income Statement'!$E$6:$G$6,0))</f>
        <v>-268.95119999999997</v>
      </c>
      <c r="F28" s="147">
        <f>INDEX(' Income Statement'!$E$8:$G$27,MATCH('3 Statement Model'!$B28,' Income Statement'!$B$8:$B$27,0),MATCH('3 Statement Model'!F$9,' Income Statement'!$E$6:$G$6,0))</f>
        <v>-232.2208</v>
      </c>
      <c r="G28" s="147">
        <f>Schedules!F235*-1</f>
        <v>-360.27457000000004</v>
      </c>
      <c r="H28" s="147">
        <f>Schedules!G235*-1</f>
        <v>-501.63970849900005</v>
      </c>
      <c r="I28" s="147">
        <f>Schedules!H235*-1</f>
        <v>-657.49032510297013</v>
      </c>
      <c r="J28" s="147">
        <f>Schedules!I235*-1</f>
        <v>-827.60806224189002</v>
      </c>
      <c r="K28" s="147">
        <f>Schedules!J235*-1</f>
        <v>-1013.3563556687274</v>
      </c>
      <c r="M28" s="108">
        <f t="shared" si="14"/>
        <v>0.34267905973617907</v>
      </c>
      <c r="N28" s="108">
        <f t="shared" si="15"/>
        <v>0.26412522134988148</v>
      </c>
    </row>
    <row r="29" spans="2:14" ht="14.4" customHeight="1" x14ac:dyDescent="0.3">
      <c r="B29" s="162" t="s">
        <v>240</v>
      </c>
      <c r="C29" s="61"/>
      <c r="D29" s="148">
        <f>SUM(D24,D27:D28)</f>
        <v>4835.0338400000028</v>
      </c>
      <c r="E29" s="148">
        <f>SUM(E24,E27:E28)</f>
        <v>6342.0503999999983</v>
      </c>
      <c r="F29" s="148">
        <f>SUM(F24,F27:F28)</f>
        <v>8514.1812000000009</v>
      </c>
      <c r="G29" s="148">
        <f>SUM(G24,G27:G28)</f>
        <v>10096.605030000006</v>
      </c>
      <c r="H29" s="148">
        <f t="shared" ref="H29:K29" si="16">SUM(H24,H27:H28)</f>
        <v>11693.595659531007</v>
      </c>
      <c r="I29" s="148">
        <f t="shared" si="16"/>
        <v>13879.387600762484</v>
      </c>
      <c r="J29" s="148">
        <f t="shared" si="16"/>
        <v>15309.722130865759</v>
      </c>
      <c r="K29" s="148">
        <f t="shared" si="16"/>
        <v>17802.678797225341</v>
      </c>
      <c r="M29" s="108">
        <f t="shared" si="14"/>
        <v>0.15896012381678015</v>
      </c>
      <c r="N29" s="108">
        <f t="shared" si="15"/>
        <v>0.15039175696776996</v>
      </c>
    </row>
    <row r="30" spans="2:14" ht="14.4" customHeight="1" x14ac:dyDescent="0.3">
      <c r="B30" s="154"/>
      <c r="D30" s="153"/>
      <c r="E30" s="153"/>
      <c r="F30" s="153"/>
      <c r="G30" s="153"/>
      <c r="H30" s="153"/>
      <c r="I30" s="153"/>
      <c r="J30" s="153"/>
      <c r="K30" s="153"/>
    </row>
    <row r="31" spans="2:14" ht="14.4" customHeight="1" x14ac:dyDescent="0.3">
      <c r="B31" s="154" t="s">
        <v>241</v>
      </c>
      <c r="D31" s="153"/>
      <c r="E31" s="153"/>
      <c r="F31" s="153"/>
      <c r="G31" s="153"/>
      <c r="H31" s="153"/>
      <c r="I31" s="153"/>
      <c r="J31" s="153"/>
      <c r="K31" s="153"/>
    </row>
    <row r="32" spans="2:14" ht="14.4" customHeight="1" x14ac:dyDescent="0.3">
      <c r="B32" s="154" t="s">
        <v>242</v>
      </c>
      <c r="D32" s="147">
        <f>INDEX(' Income Statement'!$E$8:$G$27,MATCH('3 Statement Model'!$B32,' Income Statement'!$B$8:$B$27,0),MATCH('3 Statement Model'!D$9,' Income Statement'!$E$6:$G$6,0))</f>
        <v>-336.92399999999998</v>
      </c>
      <c r="E32" s="147">
        <f>INDEX(' Income Statement'!$E$8:$G$27,MATCH('3 Statement Model'!$B32,' Income Statement'!$B$8:$B$27,0),MATCH('3 Statement Model'!E$9,' Income Statement'!$E$6:$G$6,0))</f>
        <v>-307.81800000000004</v>
      </c>
      <c r="F32" s="147">
        <f>INDEX(' Income Statement'!$E$8:$G$27,MATCH('3 Statement Model'!$B32,' Income Statement'!$B$8:$B$27,0),MATCH('3 Statement Model'!F$9,' Income Statement'!$E$6:$G$6,0))</f>
        <v>-278.71199999999999</v>
      </c>
      <c r="G32" s="147">
        <f>-Schedules!F352</f>
        <v>-653.16719999999998</v>
      </c>
      <c r="H32" s="147">
        <f>-Schedules!G352</f>
        <v>-707.05439999999999</v>
      </c>
      <c r="I32" s="147">
        <f>-Schedules!H352</f>
        <v>-733.37160000000006</v>
      </c>
      <c r="J32" s="147">
        <f>-Schedules!I352</f>
        <v>-733.16880000000003</v>
      </c>
      <c r="K32" s="147">
        <f>-Schedules!J352</f>
        <v>-732.44600000000003</v>
      </c>
      <c r="M32" s="108">
        <f t="shared" ref="M32:M34" si="17">_xlfn.RRI($K$9-$F$9,F32,K32)</f>
        <v>0.21317649890925727</v>
      </c>
      <c r="N32" s="108">
        <f t="shared" ref="N32:N34" si="18">_xlfn.RRI($K$9-$H$9,H32,K32)</f>
        <v>1.1830098676887779E-2</v>
      </c>
    </row>
    <row r="33" spans="1:15" ht="14.4" customHeight="1" x14ac:dyDescent="0.3">
      <c r="B33" s="154" t="s">
        <v>243</v>
      </c>
      <c r="D33" s="149">
        <v>0</v>
      </c>
      <c r="E33" s="149">
        <v>0</v>
      </c>
      <c r="F33" s="149">
        <v>0</v>
      </c>
      <c r="G33" s="149">
        <f>Schedules!F353</f>
        <v>0</v>
      </c>
      <c r="H33" s="149">
        <v>0</v>
      </c>
      <c r="I33" s="149">
        <v>0</v>
      </c>
      <c r="J33" s="149">
        <v>0</v>
      </c>
      <c r="K33" s="149">
        <v>0</v>
      </c>
      <c r="M33" s="108">
        <f t="shared" si="17"/>
        <v>0</v>
      </c>
      <c r="N33" s="108">
        <f t="shared" si="18"/>
        <v>0</v>
      </c>
    </row>
    <row r="34" spans="1:15" ht="14.4" customHeight="1" x14ac:dyDescent="0.3">
      <c r="B34" s="162" t="s">
        <v>244</v>
      </c>
      <c r="C34" s="61"/>
      <c r="D34" s="148">
        <f>SUM(D29,D32:D33)</f>
        <v>4498.1098400000028</v>
      </c>
      <c r="E34" s="148">
        <f t="shared" ref="E34:F34" si="19">SUM(E29,E32:E33)</f>
        <v>6034.2323999999981</v>
      </c>
      <c r="F34" s="148">
        <f t="shared" si="19"/>
        <v>8235.4692000000014</v>
      </c>
      <c r="G34" s="148">
        <f t="shared" ref="G34" si="20">SUM(G29,G32:G33)</f>
        <v>9443.4378300000062</v>
      </c>
      <c r="H34" s="148">
        <f t="shared" ref="H34" si="21">SUM(H29,H32:H33)</f>
        <v>10986.541259531008</v>
      </c>
      <c r="I34" s="148">
        <f t="shared" ref="I34" si="22">SUM(I29,I32:I33)</f>
        <v>13146.016000762484</v>
      </c>
      <c r="J34" s="148">
        <f t="shared" ref="J34" si="23">SUM(J29,J32:J33)</f>
        <v>14576.55333086576</v>
      </c>
      <c r="K34" s="148">
        <f t="shared" ref="K34" si="24">SUM(K29,K32:K33)</f>
        <v>17070.232797225341</v>
      </c>
      <c r="M34" s="108">
        <f t="shared" si="17"/>
        <v>0.15693835555472146</v>
      </c>
      <c r="N34" s="108">
        <f t="shared" si="18"/>
        <v>0.15822468739644768</v>
      </c>
    </row>
    <row r="35" spans="1:15" ht="14.4" customHeight="1" x14ac:dyDescent="0.3">
      <c r="B35" s="154"/>
      <c r="D35" s="147"/>
      <c r="E35" s="147"/>
      <c r="F35" s="147"/>
      <c r="G35" s="153"/>
      <c r="H35" s="153"/>
      <c r="I35" s="153"/>
      <c r="J35" s="153"/>
      <c r="K35" s="153"/>
    </row>
    <row r="36" spans="1:15" ht="14.4" customHeight="1" x14ac:dyDescent="0.3">
      <c r="B36" s="154" t="s">
        <v>17</v>
      </c>
      <c r="D36" s="147">
        <f>INDEX(' Income Statement'!$E$8:$G$27,MATCH('3 Statement Model'!$B36,' Income Statement'!$B$8:$B$27,0),MATCH('3 Statement Model'!D$9,' Income Statement'!$E$6:$G$6,0))</f>
        <v>-906.3691327600003</v>
      </c>
      <c r="E36" s="147">
        <f>INDEX(' Income Statement'!$E$8:$G$27,MATCH('3 Statement Model'!$B36,' Income Statement'!$B$8:$B$27,0),MATCH('3 Statement Model'!E$9,' Income Statement'!$E$6:$G$6,0))</f>
        <v>-1215.8978286000001</v>
      </c>
      <c r="F36" s="147">
        <f>INDEX(' Income Statement'!$E$8:$G$27,MATCH('3 Statement Model'!$B36,' Income Statement'!$B$8:$B$27,0),MATCH('3 Statement Model'!F$9,' Income Statement'!$E$6:$G$6,0))</f>
        <v>-1659.4470437999992</v>
      </c>
      <c r="G36" s="147">
        <f>Schedules!F256</f>
        <v>-2360.8594575000002</v>
      </c>
      <c r="H36" s="147">
        <f>Schedules!G256</f>
        <v>-2746.6353148827511</v>
      </c>
      <c r="I36" s="147">
        <f>Schedules!H256</f>
        <v>-3286.50400019062</v>
      </c>
      <c r="J36" s="147">
        <f>Schedules!I256</f>
        <v>-3644.1383327164403</v>
      </c>
      <c r="K36" s="147">
        <f>Schedules!J256</f>
        <v>-4267.5581993063342</v>
      </c>
      <c r="M36" s="108">
        <f t="shared" ref="M36:M37" si="25">_xlfn.RRI($K$9-$F$9,F36,K36)</f>
        <v>0.20793401482577756</v>
      </c>
      <c r="N36" s="108">
        <f t="shared" ref="N36:N37" si="26">_xlfn.RRI($K$9-$H$9,H36,K36)</f>
        <v>0.15822468739644768</v>
      </c>
    </row>
    <row r="37" spans="1:15" ht="14.4" customHeight="1" thickBot="1" x14ac:dyDescent="0.35">
      <c r="B37" s="163" t="s">
        <v>18</v>
      </c>
      <c r="C37" s="164"/>
      <c r="D37" s="165">
        <f>SUM(D34,D36)</f>
        <v>3591.7407072400024</v>
      </c>
      <c r="E37" s="165">
        <f t="shared" ref="E37:F37" si="27">SUM(E34,E36)</f>
        <v>4818.3345713999979</v>
      </c>
      <c r="F37" s="165">
        <f t="shared" si="27"/>
        <v>6576.0221562000024</v>
      </c>
      <c r="G37" s="165">
        <f>SUM(G34,G36)</f>
        <v>7082.5783725000056</v>
      </c>
      <c r="H37" s="165">
        <f t="shared" ref="H37" si="28">SUM(H34,H36)</f>
        <v>8239.905944648257</v>
      </c>
      <c r="I37" s="165">
        <f t="shared" ref="I37" si="29">SUM(I34,I36)</f>
        <v>9859.5120005718636</v>
      </c>
      <c r="J37" s="165">
        <f t="shared" ref="J37" si="30">SUM(J34,J36)</f>
        <v>10932.414998149319</v>
      </c>
      <c r="K37" s="165">
        <f t="shared" ref="K37" si="31">SUM(K34,K36)</f>
        <v>12802.674597919005</v>
      </c>
      <c r="M37" s="108">
        <f t="shared" si="25"/>
        <v>0.14252967251084137</v>
      </c>
      <c r="N37" s="108">
        <f t="shared" si="26"/>
        <v>0.15822468739644746</v>
      </c>
    </row>
    <row r="39" spans="1:15" ht="14.4" customHeight="1" x14ac:dyDescent="0.3">
      <c r="B39" s="55" t="s">
        <v>248</v>
      </c>
      <c r="C39" s="55"/>
      <c r="D39" s="166" t="str">
        <f>IFERROR(D13/C13-1,"NM")</f>
        <v>NM</v>
      </c>
      <c r="E39" s="97">
        <f t="shared" ref="E39:K39" si="32">IFERROR(E13/D13-1,"NM")</f>
        <v>0.11066773794091689</v>
      </c>
      <c r="F39" s="97">
        <f t="shared" si="32"/>
        <v>0.10449607257852511</v>
      </c>
      <c r="G39" s="97">
        <f t="shared" si="32"/>
        <v>0.10285437075646975</v>
      </c>
      <c r="H39" s="97">
        <f t="shared" si="32"/>
        <v>0.10395139868978487</v>
      </c>
      <c r="I39" s="97">
        <f t="shared" si="32"/>
        <v>0.10246853120065791</v>
      </c>
      <c r="J39" s="97">
        <f t="shared" si="32"/>
        <v>9.1543561686404873E-2</v>
      </c>
      <c r="K39" s="97">
        <f t="shared" si="32"/>
        <v>9.1880814727469451E-2</v>
      </c>
    </row>
    <row r="40" spans="1:15" ht="14.4" customHeight="1" x14ac:dyDescent="0.3">
      <c r="B40" s="55" t="s">
        <v>249</v>
      </c>
      <c r="C40" s="55"/>
      <c r="D40" s="97">
        <f>IFERROR(D15/D13,"NM")</f>
        <v>0.4879999337356134</v>
      </c>
      <c r="E40" s="97">
        <f t="shared" ref="E40:K40" si="33">IFERROR(E15/E13,"NM")</f>
        <v>0.49475964702614117</v>
      </c>
      <c r="F40" s="97">
        <f t="shared" si="33"/>
        <v>0.51545785799628019</v>
      </c>
      <c r="G40" s="97">
        <f t="shared" si="33"/>
        <v>0.52887137567289122</v>
      </c>
      <c r="H40" s="97">
        <f t="shared" si="33"/>
        <v>0.54205340110279066</v>
      </c>
      <c r="I40" s="97">
        <f t="shared" si="33"/>
        <v>0.555462920505708</v>
      </c>
      <c r="J40" s="97">
        <f t="shared" si="33"/>
        <v>0.56864017634791997</v>
      </c>
      <c r="K40" s="97">
        <f t="shared" si="33"/>
        <v>0.58148153978887707</v>
      </c>
    </row>
    <row r="41" spans="1:15" ht="14.4" customHeight="1" x14ac:dyDescent="0.3">
      <c r="B41" s="55" t="s">
        <v>250</v>
      </c>
      <c r="C41" s="55"/>
      <c r="D41" s="97">
        <f>IFERROR(D24/D13,"NM")</f>
        <v>0.12351739647224978</v>
      </c>
      <c r="E41" s="97">
        <f t="shared" ref="E41:K41" si="34">IFERROR(E24/E13,"NM")</f>
        <v>0.13977257684713723</v>
      </c>
      <c r="F41" s="97">
        <f t="shared" si="34"/>
        <v>0.16414907254202452</v>
      </c>
      <c r="G41" s="97">
        <f t="shared" si="34"/>
        <v>0.18055519685207244</v>
      </c>
      <c r="H41" s="97">
        <f t="shared" si="34"/>
        <v>0.19314741363018689</v>
      </c>
      <c r="I41" s="97">
        <f t="shared" si="34"/>
        <v>0.21024523220533128</v>
      </c>
      <c r="J41" s="97">
        <f t="shared" si="34"/>
        <v>0.21642859184847088</v>
      </c>
      <c r="K41" s="97">
        <f t="shared" si="34"/>
        <v>0.2320586256212889</v>
      </c>
    </row>
    <row r="42" spans="1:15" ht="14.4" customHeight="1" x14ac:dyDescent="0.3">
      <c r="B42" s="55" t="s">
        <v>251</v>
      </c>
      <c r="C42" s="55"/>
      <c r="D42" s="97">
        <f>IFERROR(D29/D13,"NM")</f>
        <v>0.10216535449376085</v>
      </c>
      <c r="E42" s="97">
        <f t="shared" ref="E42:K42" si="35">IFERROR(E29/E13,"NM")</f>
        <v>0.12065620472931272</v>
      </c>
      <c r="F42" s="97">
        <f t="shared" si="35"/>
        <v>0.14665561115198039</v>
      </c>
      <c r="G42" s="97">
        <f t="shared" si="35"/>
        <v>0.15769321012571524</v>
      </c>
      <c r="H42" s="97">
        <f t="shared" si="35"/>
        <v>0.16543818063905089</v>
      </c>
      <c r="I42" s="97">
        <f t="shared" si="35"/>
        <v>0.17811142365937771</v>
      </c>
      <c r="J42" s="97">
        <f t="shared" si="35"/>
        <v>0.17998972227526963</v>
      </c>
      <c r="K42" s="97">
        <f t="shared" si="35"/>
        <v>0.19168605502410679</v>
      </c>
    </row>
    <row r="43" spans="1:15" ht="14.4" customHeight="1" x14ac:dyDescent="0.3">
      <c r="B43" s="55" t="s">
        <v>252</v>
      </c>
      <c r="C43" s="55"/>
      <c r="D43" s="97">
        <f>-IFERROR(D36/D34,"NM")</f>
        <v>0.20149999999999993</v>
      </c>
      <c r="E43" s="97">
        <f t="shared" ref="E43:K43" si="36">-IFERROR(E36/E34,"NM")</f>
        <v>0.2015000000000001</v>
      </c>
      <c r="F43" s="97">
        <f t="shared" si="36"/>
        <v>0.20149999999999987</v>
      </c>
      <c r="G43" s="97">
        <f t="shared" si="36"/>
        <v>0.24999999999999986</v>
      </c>
      <c r="H43" s="97">
        <f t="shared" si="36"/>
        <v>0.24999999999999992</v>
      </c>
      <c r="I43" s="97">
        <f t="shared" si="36"/>
        <v>0.24999999999999994</v>
      </c>
      <c r="J43" s="97">
        <f t="shared" si="36"/>
        <v>0.25000000000000006</v>
      </c>
      <c r="K43" s="97">
        <f t="shared" si="36"/>
        <v>0.24999999999999994</v>
      </c>
    </row>
    <row r="44" spans="1:15" ht="14.4" customHeight="1" x14ac:dyDescent="0.3">
      <c r="B44" s="55" t="s">
        <v>253</v>
      </c>
      <c r="C44" s="55"/>
      <c r="D44" s="97">
        <f>IFERROR(D37/D13,"NM")</f>
        <v>7.5894290453372704E-2</v>
      </c>
      <c r="E44" s="97">
        <f t="shared" ref="E44:K44" si="37">IFERROR(E37/E13,"NM")</f>
        <v>9.1667824415454596E-2</v>
      </c>
      <c r="F44" s="97">
        <f t="shared" si="37"/>
        <v>0.11327108568777876</v>
      </c>
      <c r="G44" s="97">
        <f t="shared" si="37"/>
        <v>0.11061881852443713</v>
      </c>
      <c r="H44" s="97">
        <f t="shared" si="37"/>
        <v>0.11657620870518291</v>
      </c>
      <c r="I44" s="97">
        <f t="shared" si="37"/>
        <v>0.12652515871176481</v>
      </c>
      <c r="J44" s="97">
        <f t="shared" si="37"/>
        <v>0.12852763247399412</v>
      </c>
      <c r="K44" s="97">
        <f t="shared" si="37"/>
        <v>0.13784971438202451</v>
      </c>
    </row>
    <row r="46" spans="1:15" s="44" customFormat="1" ht="18" customHeight="1" x14ac:dyDescent="0.35">
      <c r="A46" s="44" t="s">
        <v>52</v>
      </c>
      <c r="B46" s="76" t="s">
        <v>255</v>
      </c>
      <c r="C46" s="168"/>
      <c r="D46" s="169"/>
      <c r="E46" s="169"/>
      <c r="F46" s="169"/>
      <c r="G46" s="169"/>
      <c r="H46" s="169"/>
      <c r="I46" s="169"/>
      <c r="J46" s="169"/>
      <c r="K46" s="169"/>
      <c r="L46"/>
      <c r="M46"/>
      <c r="N46"/>
      <c r="O46"/>
    </row>
    <row r="48" spans="1:15" ht="14.4" customHeight="1" x14ac:dyDescent="0.3">
      <c r="B48" s="158" t="s">
        <v>20</v>
      </c>
      <c r="C48" s="4"/>
      <c r="D48" s="4"/>
      <c r="E48" s="4"/>
      <c r="F48" s="4"/>
      <c r="G48" s="4"/>
      <c r="H48" s="4"/>
      <c r="I48" s="4"/>
      <c r="J48" s="4"/>
      <c r="K48" s="4"/>
    </row>
    <row r="49" spans="2:11" ht="14.4" customHeight="1" x14ac:dyDescent="0.3">
      <c r="B49" s="154" t="s">
        <v>21</v>
      </c>
      <c r="C49" s="4"/>
      <c r="D49" s="174">
        <f>INDEX(' Balance Sheet'!$E$9:$G$40,MATCH('3 Statement Model'!$B49,' Balance Sheet'!$B$9:$B$40,0),MATCH('3 Statement Model'!D$9,' Balance Sheet'!$E$6:$G$6,0))</f>
        <v>1471.2348</v>
      </c>
      <c r="E49" s="174">
        <f>INDEX(' Balance Sheet'!$E$9:$G$40,MATCH('3 Statement Model'!$B49,' Balance Sheet'!$B$9:$B$40,0),MATCH('3 Statement Model'!E$9,' Balance Sheet'!$E$6:$G$6,0))</f>
        <v>1956.0604000000001</v>
      </c>
      <c r="F49" s="174">
        <f>INDEX(' Balance Sheet'!$E$9:$G$40,MATCH('3 Statement Model'!$B49,' Balance Sheet'!$B$9:$B$40,0),MATCH('3 Statement Model'!F$9,' Balance Sheet'!$E$6:$G$6,0))</f>
        <v>2181.2644</v>
      </c>
      <c r="G49" s="176">
        <f>G116</f>
        <v>3386.2058044814403</v>
      </c>
      <c r="H49" s="176">
        <f t="shared" ref="H49:K49" si="38">H116</f>
        <v>5257.9020475825091</v>
      </c>
      <c r="I49" s="176">
        <f t="shared" si="38"/>
        <v>7677.0035599625007</v>
      </c>
      <c r="J49" s="176">
        <f t="shared" si="38"/>
        <v>10878.163124709326</v>
      </c>
      <c r="K49" s="176">
        <f t="shared" si="38"/>
        <v>15353.392645116537</v>
      </c>
    </row>
    <row r="50" spans="2:11" ht="14.4" customHeight="1" x14ac:dyDescent="0.3">
      <c r="B50" s="154" t="s">
        <v>22</v>
      </c>
      <c r="C50" s="4"/>
      <c r="D50" s="174">
        <f>INDEX(' Balance Sheet'!$E$9:$G$40,MATCH('3 Statement Model'!$B50,' Balance Sheet'!$B$9:$B$40,0),MATCH('3 Statement Model'!D$9,' Balance Sheet'!$E$6:$G$6,0))</f>
        <v>4686.8108000000002</v>
      </c>
      <c r="E50" s="174">
        <f>INDEX(' Balance Sheet'!$E$9:$G$40,MATCH('3 Statement Model'!$B50,' Balance Sheet'!$B$9:$B$40,0),MATCH('3 Statement Model'!E$9,' Balance Sheet'!$E$6:$G$6,0))</f>
        <v>5155.4859999999999</v>
      </c>
      <c r="F50" s="174">
        <f>INDEX(' Balance Sheet'!$E$9:$G$40,MATCH('3 Statement Model'!$B50,' Balance Sheet'!$B$9:$B$40,0),MATCH('3 Statement Model'!F$9,' Balance Sheet'!$E$6:$G$6,0))</f>
        <v>5592.6248000000005</v>
      </c>
      <c r="G50" s="174">
        <f>Schedules!F280</f>
        <v>6000.7099095604108</v>
      </c>
      <c r="H50" s="174">
        <f>Schedules!G280</f>
        <v>6439.1409669442373</v>
      </c>
      <c r="I50" s="174">
        <f>Schedules!H280</f>
        <v>6891.0799519710099</v>
      </c>
      <c r="J50" s="174">
        <f>Schedules!I280</f>
        <v>7298.9445125496804</v>
      </c>
      <c r="K50" s="174">
        <f>Schedules!J280</f>
        <v>7732.3271964641135</v>
      </c>
    </row>
    <row r="51" spans="2:11" ht="14.4" customHeight="1" x14ac:dyDescent="0.3">
      <c r="B51" s="154" t="s">
        <v>23</v>
      </c>
      <c r="C51" s="4"/>
      <c r="D51" s="174">
        <f>INDEX(' Balance Sheet'!$E$9:$G$40,MATCH('3 Statement Model'!$B51,' Balance Sheet'!$B$9:$B$40,0),MATCH('3 Statement Model'!D$9,' Balance Sheet'!$E$6:$G$6,0))</f>
        <v>5476.2791999999999</v>
      </c>
      <c r="E51" s="174">
        <f>INDEX(' Balance Sheet'!$E$9:$G$40,MATCH('3 Statement Model'!$B51,' Balance Sheet'!$B$9:$B$40,0),MATCH('3 Statement Model'!E$9,' Balance Sheet'!$E$6:$G$6,0))</f>
        <v>6023.9031999999997</v>
      </c>
      <c r="F51" s="174">
        <f>INDEX(' Balance Sheet'!$E$9:$G$40,MATCH('3 Statement Model'!$B51,' Balance Sheet'!$B$9:$B$40,0),MATCH('3 Statement Model'!F$9,' Balance Sheet'!$E$6:$G$6,0))</f>
        <v>6550.7708000000002</v>
      </c>
      <c r="G51" s="174">
        <f>Schedules!F275</f>
        <v>7230.2266621782101</v>
      </c>
      <c r="H51" s="174">
        <f>Schedules!G275</f>
        <v>7981.8188365558099</v>
      </c>
      <c r="I51" s="174">
        <f>Schedules!H275</f>
        <v>8799.7040890474273</v>
      </c>
      <c r="J51" s="174">
        <f>Schedules!I275</f>
        <v>9605.2603431452517</v>
      </c>
      <c r="K51" s="174">
        <f>Schedules!J275</f>
        <v>10487.79948914289</v>
      </c>
    </row>
    <row r="52" spans="2:11" ht="14.4" customHeight="1" x14ac:dyDescent="0.3">
      <c r="B52" s="154" t="s">
        <v>24</v>
      </c>
      <c r="C52" s="4"/>
      <c r="D52" s="174">
        <f>INDEX(' Balance Sheet'!$E$9:$G$40,MATCH('3 Statement Model'!$B52,' Balance Sheet'!$B$9:$B$40,0),MATCH('3 Statement Model'!D$9,' Balance Sheet'!$E$6:$G$6,0))</f>
        <v>1660.1396</v>
      </c>
      <c r="E52" s="174">
        <f>INDEX(' Balance Sheet'!$E$9:$G$40,MATCH('3 Statement Model'!$B52,' Balance Sheet'!$B$9:$B$40,0),MATCH('3 Statement Model'!E$9,' Balance Sheet'!$E$6:$G$6,0))</f>
        <v>1915.0964000000001</v>
      </c>
      <c r="F52" s="174">
        <f>INDEX(' Balance Sheet'!$E$9:$G$40,MATCH('3 Statement Model'!$B52,' Balance Sheet'!$B$9:$B$40,0),MATCH('3 Statement Model'!F$9,' Balance Sheet'!$E$6:$G$6,0))</f>
        <v>2186.9875999999999</v>
      </c>
      <c r="G52" s="174">
        <f>Schedules!F285</f>
        <v>2413.8252639480434</v>
      </c>
      <c r="H52" s="174">
        <f>Schedules!G285</f>
        <v>2664.7457763281818</v>
      </c>
      <c r="I52" s="174">
        <f>Schedules!H285</f>
        <v>2937.798362051687</v>
      </c>
      <c r="J52" s="174">
        <f>Schedules!I285</f>
        <v>3206.7348876303854</v>
      </c>
      <c r="K52" s="174">
        <f>Schedules!J285</f>
        <v>3501.3723017208654</v>
      </c>
    </row>
    <row r="53" spans="2:11" ht="14.4" customHeight="1" x14ac:dyDescent="0.3">
      <c r="B53" s="170" t="s">
        <v>25</v>
      </c>
      <c r="C53" s="17"/>
      <c r="D53" s="174">
        <f>INDEX(' Balance Sheet'!$E$9:$G$40,MATCH('3 Statement Model'!$B53,' Balance Sheet'!$B$9:$B$40,0),MATCH('3 Statement Model'!D$9,' Balance Sheet'!$E$6:$G$6,0))</f>
        <v>97.60799999999999</v>
      </c>
      <c r="E53" s="174">
        <f>INDEX(' Balance Sheet'!$E$9:$G$40,MATCH('3 Statement Model'!$B53,' Balance Sheet'!$B$9:$B$40,0),MATCH('3 Statement Model'!E$9,' Balance Sheet'!$E$6:$G$6,0))</f>
        <v>130.0068</v>
      </c>
      <c r="F53" s="174">
        <f>INDEX(' Balance Sheet'!$E$9:$G$40,MATCH('3 Statement Model'!$B53,' Balance Sheet'!$B$9:$B$40,0),MATCH('3 Statement Model'!F$9,' Balance Sheet'!$E$6:$G$6,0))</f>
        <v>151.15520000000001</v>
      </c>
      <c r="G53" s="174">
        <f>Schedules!F290</f>
        <v>166.83324612225479</v>
      </c>
      <c r="H53" s="174">
        <f>Schedules!G290</f>
        <v>184.17579540462032</v>
      </c>
      <c r="I53" s="174">
        <f>Schedules!H290</f>
        <v>203.04801864244465</v>
      </c>
      <c r="J53" s="174">
        <f>Schedules!I290</f>
        <v>221.63575746234156</v>
      </c>
      <c r="K53" s="174">
        <f>Schedules!J290</f>
        <v>241.99983143072134</v>
      </c>
    </row>
    <row r="54" spans="2:11" ht="14.4" customHeight="1" x14ac:dyDescent="0.3">
      <c r="B54" s="2" t="s">
        <v>26</v>
      </c>
      <c r="C54" s="21"/>
      <c r="D54" s="175">
        <f>SUM(D49:D53)</f>
        <v>13392.072400000001</v>
      </c>
      <c r="E54" s="175">
        <f t="shared" ref="E54:F54" si="39">SUM(E49:E53)</f>
        <v>15180.552799999999</v>
      </c>
      <c r="F54" s="175">
        <f t="shared" si="39"/>
        <v>16662.802800000001</v>
      </c>
      <c r="G54" s="175">
        <f t="shared" ref="G54" si="40">SUM(G49:G53)</f>
        <v>19197.800886290363</v>
      </c>
      <c r="H54" s="175">
        <f t="shared" ref="H54" si="41">SUM(H49:H53)</f>
        <v>22527.783422815355</v>
      </c>
      <c r="I54" s="175">
        <f t="shared" ref="I54" si="42">SUM(I49:I53)</f>
        <v>26508.633981675066</v>
      </c>
      <c r="J54" s="175">
        <f t="shared" ref="J54" si="43">SUM(J49:J53)</f>
        <v>31210.738625496982</v>
      </c>
      <c r="K54" s="175">
        <f t="shared" ref="K54" si="44">SUM(K49:K53)</f>
        <v>37316.89146387513</v>
      </c>
    </row>
    <row r="55" spans="2:11" ht="14.4" customHeight="1" x14ac:dyDescent="0.3">
      <c r="B55" s="157"/>
      <c r="C55" s="4"/>
      <c r="D55" s="176"/>
      <c r="E55" s="177"/>
      <c r="F55" s="177"/>
      <c r="G55" s="25"/>
      <c r="H55" s="25"/>
      <c r="I55" s="25"/>
      <c r="J55" s="25"/>
      <c r="K55" s="25"/>
    </row>
    <row r="56" spans="2:11" ht="14.4" customHeight="1" x14ac:dyDescent="0.3">
      <c r="B56" s="154" t="s">
        <v>27</v>
      </c>
      <c r="C56" s="4"/>
      <c r="D56" s="174">
        <f>INDEX(' Balance Sheet'!$E$9:$G$40,MATCH('3 Statement Model'!$B56,' Balance Sheet'!$B$9:$B$40,0),MATCH('3 Statement Model'!D$9,' Balance Sheet'!$E$6:$G$6,0))</f>
        <v>7007</v>
      </c>
      <c r="E56" s="174">
        <f>INDEX(' Balance Sheet'!$E$9:$G$40,MATCH('3 Statement Model'!$B56,' Balance Sheet'!$B$9:$B$40,0),MATCH('3 Statement Model'!E$9,' Balance Sheet'!$E$6:$G$6,0))</f>
        <v>8309.3220000000001</v>
      </c>
      <c r="F56" s="174">
        <f>INDEX(' Balance Sheet'!$E$9:$G$40,MATCH('3 Statement Model'!$B56,' Balance Sheet'!$B$9:$B$40,0),MATCH('3 Statement Model'!F$9,' Balance Sheet'!$E$6:$G$6,0))</f>
        <v>9491.2999999999993</v>
      </c>
      <c r="G56" s="174">
        <f>Schedules!F208</f>
        <v>11589.137025</v>
      </c>
      <c r="H56" s="174">
        <f>Schedules!G208</f>
        <v>13666.345416227501</v>
      </c>
      <c r="I56" s="174">
        <f>Schedules!H208</f>
        <v>15716.064218569329</v>
      </c>
      <c r="J56" s="174">
        <f>Schedules!I208</f>
        <v>17697.1666914376</v>
      </c>
      <c r="K56" s="174">
        <f>Schedules!J208</f>
        <v>19604.662337936716</v>
      </c>
    </row>
    <row r="57" spans="2:11" ht="14.4" customHeight="1" x14ac:dyDescent="0.3">
      <c r="B57" s="154" t="s">
        <v>28</v>
      </c>
      <c r="C57" s="4"/>
      <c r="D57" s="174">
        <f>INDEX(' Balance Sheet'!$E$9:$G$40,MATCH('3 Statement Model'!$B57,' Balance Sheet'!$B$9:$B$40,0),MATCH('3 Statement Model'!D$9,' Balance Sheet'!$E$6:$G$6,0))</f>
        <v>2500.078</v>
      </c>
      <c r="E57" s="174">
        <f>INDEX(' Balance Sheet'!$E$9:$G$40,MATCH('3 Statement Model'!$B57,' Balance Sheet'!$B$9:$B$40,0),MATCH('3 Statement Model'!E$9,' Balance Sheet'!$E$6:$G$6,0))</f>
        <v>2598.1015199999997</v>
      </c>
      <c r="F57" s="174">
        <f>INDEX(' Balance Sheet'!$E$9:$G$40,MATCH('3 Statement Model'!$B57,' Balance Sheet'!$B$9:$B$40,0),MATCH('3 Statement Model'!F$9,' Balance Sheet'!$E$6:$G$6,0))</f>
        <v>2854.5636</v>
      </c>
      <c r="G57" s="174">
        <f>Schedules!F213</f>
        <v>4415.0955799999992</v>
      </c>
      <c r="H57" s="174">
        <f>Schedules!G213</f>
        <v>6033.9329489859992</v>
      </c>
      <c r="I57" s="174">
        <f>Schedules!H213</f>
        <v>7714.2018729425818</v>
      </c>
      <c r="J57" s="174">
        <f>Schedules!I213</f>
        <v>9438.3598677844893</v>
      </c>
      <c r="K57" s="174">
        <f>Schedules!J213</f>
        <v>11211.227913518322</v>
      </c>
    </row>
    <row r="58" spans="2:11" ht="14.4" customHeight="1" x14ac:dyDescent="0.3">
      <c r="B58" s="154" t="s">
        <v>29</v>
      </c>
      <c r="C58" s="4"/>
      <c r="D58" s="147">
        <f>INDEX(' Balance Sheet'!$E$9:$G$40,MATCH('3 Statement Model'!$B58,' Balance Sheet'!$B$9:$B$40,0),MATCH('3 Statement Model'!D$9,' Balance Sheet'!$E$6:$G$6,0))</f>
        <v>0</v>
      </c>
      <c r="E58" s="147">
        <f>INDEX(' Balance Sheet'!$E$9:$G$40,MATCH('3 Statement Model'!$B58,' Balance Sheet'!$B$9:$B$40,0),MATCH('3 Statement Model'!E$9,' Balance Sheet'!$E$6:$G$6,0))</f>
        <v>0</v>
      </c>
      <c r="F58" s="147">
        <v>0</v>
      </c>
      <c r="G58" s="147">
        <v>0</v>
      </c>
      <c r="H58" s="147">
        <v>0</v>
      </c>
      <c r="I58" s="147">
        <v>0</v>
      </c>
      <c r="J58" s="147">
        <v>0</v>
      </c>
      <c r="K58" s="147">
        <v>0</v>
      </c>
    </row>
    <row r="59" spans="2:11" ht="14.4" customHeight="1" x14ac:dyDescent="0.3">
      <c r="B59" s="170" t="s">
        <v>30</v>
      </c>
      <c r="C59" s="17"/>
      <c r="D59" s="174">
        <f>INDEX(' Balance Sheet'!$E$9:$G$40,MATCH('3 Statement Model'!$B59,' Balance Sheet'!$B$9:$B$40,0),MATCH('3 Statement Model'!D$9,' Balance Sheet'!$E$6:$G$6,0))</f>
        <v>1130.43</v>
      </c>
      <c r="E59" s="174">
        <f>INDEX(' Balance Sheet'!$E$9:$G$40,MATCH('3 Statement Model'!$B59,' Balance Sheet'!$B$9:$B$40,0),MATCH('3 Statement Model'!E$9,' Balance Sheet'!$E$6:$G$6,0))</f>
        <v>1700.5352</v>
      </c>
      <c r="F59" s="174">
        <v>1825.5636</v>
      </c>
      <c r="G59" s="176">
        <v>1825.5636</v>
      </c>
      <c r="H59" s="176">
        <v>1825.5636</v>
      </c>
      <c r="I59" s="176">
        <v>1825.5636</v>
      </c>
      <c r="J59" s="176">
        <v>1825.5636</v>
      </c>
      <c r="K59" s="176">
        <v>1825.5636</v>
      </c>
    </row>
    <row r="60" spans="2:11" ht="14.4" customHeight="1" x14ac:dyDescent="0.3">
      <c r="B60" s="171" t="s">
        <v>31</v>
      </c>
      <c r="C60" s="4"/>
      <c r="D60" s="178">
        <f>SUM(D56:D59)</f>
        <v>10637.508</v>
      </c>
      <c r="E60" s="178">
        <f t="shared" ref="E60:F60" si="45">SUM(E56:E59)</f>
        <v>12607.958720000001</v>
      </c>
      <c r="F60" s="178">
        <f t="shared" si="45"/>
        <v>14171.427199999998</v>
      </c>
      <c r="G60" s="178">
        <f t="shared" ref="G60" si="46">SUM(G56:G59)</f>
        <v>17829.796204999999</v>
      </c>
      <c r="H60" s="178">
        <f t="shared" ref="H60" si="47">SUM(H56:H59)</f>
        <v>21525.841965213502</v>
      </c>
      <c r="I60" s="178">
        <f t="shared" ref="I60" si="48">SUM(I56:I59)</f>
        <v>25255.829691511914</v>
      </c>
      <c r="J60" s="178">
        <f t="shared" ref="J60" si="49">SUM(J56:J59)</f>
        <v>28961.090159222091</v>
      </c>
      <c r="K60" s="178">
        <f t="shared" ref="K60" si="50">SUM(K56:K59)</f>
        <v>32641.453851455037</v>
      </c>
    </row>
    <row r="61" spans="2:11" ht="14.4" customHeight="1" x14ac:dyDescent="0.3">
      <c r="B61" s="154"/>
      <c r="C61" s="4"/>
      <c r="D61" s="176"/>
      <c r="E61" s="177"/>
      <c r="F61" s="177"/>
      <c r="G61" s="27"/>
      <c r="H61" s="27"/>
      <c r="I61" s="27"/>
      <c r="J61" s="27"/>
      <c r="K61" s="27"/>
    </row>
    <row r="62" spans="2:11" ht="14.4" customHeight="1" thickBot="1" x14ac:dyDescent="0.35">
      <c r="B62" s="172" t="s">
        <v>32</v>
      </c>
      <c r="C62" s="36"/>
      <c r="D62" s="179">
        <f>SUM(D60,D54)</f>
        <v>24029.580399999999</v>
      </c>
      <c r="E62" s="179">
        <f t="shared" ref="E62:K62" si="51">SUM(E60,E54)</f>
        <v>27788.51152</v>
      </c>
      <c r="F62" s="179">
        <f t="shared" si="51"/>
        <v>30834.23</v>
      </c>
      <c r="G62" s="179">
        <f t="shared" si="51"/>
        <v>37027.597091290358</v>
      </c>
      <c r="H62" s="187">
        <f t="shared" si="51"/>
        <v>44053.625388028857</v>
      </c>
      <c r="I62" s="179">
        <f t="shared" si="51"/>
        <v>51764.463673186983</v>
      </c>
      <c r="J62" s="179">
        <f t="shared" si="51"/>
        <v>60171.828784719073</v>
      </c>
      <c r="K62" s="179">
        <f t="shared" si="51"/>
        <v>69958.345315330167</v>
      </c>
    </row>
    <row r="63" spans="2:11" ht="14.4" customHeight="1" x14ac:dyDescent="0.3">
      <c r="B63" s="6"/>
      <c r="C63" s="4"/>
      <c r="D63" s="176"/>
      <c r="E63" s="177"/>
      <c r="F63" s="177"/>
      <c r="G63" s="27"/>
      <c r="H63" s="27"/>
      <c r="I63" s="27"/>
      <c r="J63" s="27"/>
      <c r="K63" s="27"/>
    </row>
    <row r="64" spans="2:11" ht="14.4" customHeight="1" x14ac:dyDescent="0.3">
      <c r="B64" s="6"/>
      <c r="C64" s="4"/>
      <c r="D64" s="176"/>
      <c r="E64" s="177"/>
      <c r="F64" s="177"/>
      <c r="G64" s="27"/>
      <c r="H64" s="27"/>
      <c r="I64" s="27"/>
      <c r="J64" s="27"/>
      <c r="K64" s="27"/>
    </row>
    <row r="65" spans="2:11" ht="14.4" customHeight="1" x14ac:dyDescent="0.3">
      <c r="B65" s="41" t="s">
        <v>33</v>
      </c>
      <c r="C65" s="4"/>
      <c r="D65" s="176"/>
      <c r="E65" s="177"/>
      <c r="F65" s="177"/>
      <c r="G65" s="27"/>
      <c r="H65" s="27"/>
      <c r="I65" s="27"/>
      <c r="J65" s="27"/>
      <c r="K65" s="27"/>
    </row>
    <row r="66" spans="2:11" ht="14.4" customHeight="1" x14ac:dyDescent="0.3">
      <c r="B66" s="159" t="s">
        <v>34</v>
      </c>
      <c r="C66" s="4"/>
      <c r="D66" s="174">
        <f>INDEX(' Balance Sheet'!$E$9:$G$40,MATCH('3 Statement Model'!$B66,' Balance Sheet'!$B$9:$B$40,0),MATCH('3 Statement Model'!D$9,' Balance Sheet'!$E$6:$G$6,0))</f>
        <v>4691.1032000000005</v>
      </c>
      <c r="E66" s="174">
        <f>INDEX(' Balance Sheet'!$E$9:$G$40,MATCH('3 Statement Model'!$B66,' Balance Sheet'!$B$9:$B$40,0),MATCH('3 Statement Model'!E$9,' Balance Sheet'!$E$6:$G$6,0))</f>
        <v>5396.8403999999991</v>
      </c>
      <c r="F66" s="174">
        <f>INDEX(' Balance Sheet'!$E$9:$G$40,MATCH('3 Statement Model'!$B66,' Balance Sheet'!$B$9:$B$40,0),MATCH('3 Statement Model'!F$9,' Balance Sheet'!$E$6:$G$6,0))</f>
        <v>6055.8119999999999</v>
      </c>
      <c r="G66" s="174">
        <f>Schedules!F295</f>
        <v>6497.6951571710742</v>
      </c>
      <c r="H66" s="174">
        <f>Schedules!G295</f>
        <v>6972.4375461970039</v>
      </c>
      <c r="I66" s="174">
        <f>Schedules!H295</f>
        <v>7461.8066039591031</v>
      </c>
      <c r="J66" s="174">
        <f>Schedules!I295</f>
        <v>7903.4509460446016</v>
      </c>
      <c r="K66" s="174">
        <f>Schedules!J295</f>
        <v>8372.7268498816029</v>
      </c>
    </row>
    <row r="67" spans="2:11" ht="14.4" customHeight="1" x14ac:dyDescent="0.3">
      <c r="B67" s="159" t="s">
        <v>35</v>
      </c>
      <c r="C67" s="4"/>
      <c r="D67" s="174">
        <f>INDEX(' Balance Sheet'!$E$9:$G$40,MATCH('3 Statement Model'!$B67,' Balance Sheet'!$B$9:$B$40,0),MATCH('3 Statement Model'!D$9,' Balance Sheet'!$E$6:$G$6,0))</f>
        <v>2628.1640000000002</v>
      </c>
      <c r="E67" s="174">
        <f>INDEX(' Balance Sheet'!$E$9:$G$40,MATCH('3 Statement Model'!$B67,' Balance Sheet'!$B$9:$B$40,0),MATCH('3 Statement Model'!E$9,' Balance Sheet'!$E$6:$G$6,0))</f>
        <v>3061.0104000000001</v>
      </c>
      <c r="F67" s="174">
        <f>INDEX(' Balance Sheet'!$E$9:$G$40,MATCH('3 Statement Model'!$B67,' Balance Sheet'!$B$9:$B$40,0),MATCH('3 Statement Model'!F$9,' Balance Sheet'!$E$6:$G$6,0))</f>
        <v>3343.4071999999996</v>
      </c>
      <c r="G67" s="174">
        <f>Schedules!F300</f>
        <v>3690.1904551382863</v>
      </c>
      <c r="H67" s="174">
        <f>Schedules!G300</f>
        <v>4073.790914381605</v>
      </c>
      <c r="I67" s="174">
        <f>Schedules!H300</f>
        <v>4491.2262857968726</v>
      </c>
      <c r="J67" s="174">
        <f>Schedules!I300</f>
        <v>4902.3691363383223</v>
      </c>
      <c r="K67" s="174">
        <f>Schedules!J300</f>
        <v>5352.8028066798879</v>
      </c>
    </row>
    <row r="68" spans="2:11" ht="14.4" customHeight="1" x14ac:dyDescent="0.3">
      <c r="B68" s="173" t="s">
        <v>36</v>
      </c>
      <c r="C68" s="17"/>
      <c r="D68" s="174">
        <f>INDEX(' Balance Sheet'!$E$9:$G$40,MATCH('3 Statement Model'!$B68,' Balance Sheet'!$B$9:$B$40,0),MATCH('3 Statement Model'!D$9,' Balance Sheet'!$E$6:$G$6,0))</f>
        <v>187.63079999999999</v>
      </c>
      <c r="E68" s="174">
        <f>INDEX(' Balance Sheet'!$E$9:$G$40,MATCH('3 Statement Model'!$B68,' Balance Sheet'!$B$9:$B$40,0),MATCH('3 Statement Model'!E$9,' Balance Sheet'!$E$6:$G$6,0))</f>
        <v>215.85479999999998</v>
      </c>
      <c r="F68" s="174">
        <f>INDEX(' Balance Sheet'!$E$9:$G$40,MATCH('3 Statement Model'!$B68,' Balance Sheet'!$B$9:$B$40,0),MATCH('3 Statement Model'!F$9,' Balance Sheet'!$E$6:$G$6,0))</f>
        <v>259.30799999999999</v>
      </c>
      <c r="G68" s="174">
        <f>Schedules!F305</f>
        <v>286.20381823099467</v>
      </c>
      <c r="H68" s="174">
        <f>Schedules!G305</f>
        <v>315.95510544646351</v>
      </c>
      <c r="I68" s="174">
        <f>Schedules!H305</f>
        <v>348.3305610269116</v>
      </c>
      <c r="J68" s="174">
        <f>Schedules!I305</f>
        <v>380.2179812275387</v>
      </c>
      <c r="K68" s="174">
        <f>Schedules!J305</f>
        <v>415.15271911675865</v>
      </c>
    </row>
    <row r="69" spans="2:11" ht="14.4" customHeight="1" x14ac:dyDescent="0.3">
      <c r="B69" s="2" t="s">
        <v>37</v>
      </c>
      <c r="C69" s="21"/>
      <c r="D69" s="175">
        <f>SUM(D66:D68)</f>
        <v>7506.8980000000001</v>
      </c>
      <c r="E69" s="175">
        <f t="shared" ref="E69:F69" si="52">SUM(E66:E68)</f>
        <v>8673.7055999999993</v>
      </c>
      <c r="F69" s="175">
        <f t="shared" si="52"/>
        <v>9658.5272000000004</v>
      </c>
      <c r="G69" s="175">
        <f t="shared" ref="G69" si="53">SUM(G66:G68)</f>
        <v>10474.089430540356</v>
      </c>
      <c r="H69" s="175">
        <f t="shared" ref="H69" si="54">SUM(H66:H68)</f>
        <v>11362.183566025071</v>
      </c>
      <c r="I69" s="175">
        <f t="shared" ref="I69" si="55">SUM(I66:I68)</f>
        <v>12301.363450782887</v>
      </c>
      <c r="J69" s="175">
        <f t="shared" ref="J69" si="56">SUM(J66:J68)</f>
        <v>13186.038063610464</v>
      </c>
      <c r="K69" s="175">
        <f t="shared" ref="K69" si="57">SUM(K66:K68)</f>
        <v>14140.682375678251</v>
      </c>
    </row>
    <row r="70" spans="2:11" ht="14.4" customHeight="1" x14ac:dyDescent="0.3">
      <c r="B70" s="6"/>
      <c r="C70" s="4"/>
      <c r="D70" s="174"/>
      <c r="E70" s="180"/>
      <c r="F70" s="180"/>
      <c r="G70" s="27"/>
      <c r="H70" s="27"/>
      <c r="I70" s="27"/>
      <c r="J70" s="27"/>
      <c r="K70" s="27"/>
    </row>
    <row r="71" spans="2:11" ht="14.4" customHeight="1" x14ac:dyDescent="0.3">
      <c r="B71" s="159" t="s">
        <v>38</v>
      </c>
      <c r="C71" s="4"/>
      <c r="D71" s="174">
        <f>INDEX(' Balance Sheet'!$E$9:$G$40,MATCH('3 Statement Model'!$B71,' Balance Sheet'!$B$9:$B$40,0),MATCH('3 Statement Model'!D$9,' Balance Sheet'!$E$6:$G$6,0))</f>
        <v>7487.2</v>
      </c>
      <c r="E71" s="174">
        <f>INDEX(' Balance Sheet'!$E$9:$G$40,MATCH('3 Statement Model'!$B71,' Balance Sheet'!$B$9:$B$40,0),MATCH('3 Statement Model'!E$9,' Balance Sheet'!$E$6:$G$6,0))</f>
        <v>6840.4</v>
      </c>
      <c r="F71" s="174">
        <f>INDEX(' Balance Sheet'!$E$9:$G$40,MATCH('3 Statement Model'!$B71,' Balance Sheet'!$B$9:$B$40,0),MATCH('3 Statement Model'!F$9,' Balance Sheet'!$E$6:$G$6,0))</f>
        <v>6193.5999999999995</v>
      </c>
      <c r="G71" s="174">
        <f>Schedules!F328</f>
        <v>6613.5999999999995</v>
      </c>
      <c r="H71" s="174">
        <f>Schedules!G328</f>
        <v>6983.5999999999995</v>
      </c>
      <c r="I71" s="174">
        <f>Schedules!H328</f>
        <v>6853.5999999999995</v>
      </c>
      <c r="J71" s="174">
        <f>Schedules!I328</f>
        <v>6723.5999999999995</v>
      </c>
      <c r="K71" s="174">
        <f>Schedules!J328</f>
        <v>6593.5999999999995</v>
      </c>
    </row>
    <row r="72" spans="2:11" ht="14.4" customHeight="1" x14ac:dyDescent="0.3">
      <c r="B72" s="159" t="s">
        <v>39</v>
      </c>
      <c r="C72" s="4"/>
      <c r="D72" s="147">
        <f>INDEX(' Balance Sheet'!$E$9:$G$40,MATCH('3 Statement Model'!$B72,' Balance Sheet'!$B$9:$B$40,0),MATCH('3 Statement Model'!D$9,' Balance Sheet'!$E$6:$G$6,0))</f>
        <v>0</v>
      </c>
      <c r="E72" s="147">
        <f>INDEX(' Balance Sheet'!$E$9:$G$40,MATCH('3 Statement Model'!$B72,' Balance Sheet'!$B$9:$B$40,0),MATCH('3 Statement Model'!E$9,' Balance Sheet'!$E$6:$G$6,0))</f>
        <v>0</v>
      </c>
      <c r="F72" s="147">
        <v>0</v>
      </c>
      <c r="G72" s="147">
        <f>Schedules!F242</f>
        <v>0</v>
      </c>
      <c r="H72" s="147">
        <f>Schedules!G242</f>
        <v>0</v>
      </c>
      <c r="I72" s="147">
        <f>Schedules!H242</f>
        <v>0</v>
      </c>
      <c r="J72" s="147">
        <f>Schedules!I242</f>
        <v>0</v>
      </c>
      <c r="K72" s="147">
        <f>Schedules!J242</f>
        <v>0</v>
      </c>
    </row>
    <row r="73" spans="2:11" ht="14.4" customHeight="1" x14ac:dyDescent="0.3">
      <c r="B73" s="173" t="s">
        <v>40</v>
      </c>
      <c r="C73" s="17"/>
      <c r="D73" s="174">
        <f>INDEX(' Balance Sheet'!$E$9:$G$40,MATCH('3 Statement Model'!$B73,' Balance Sheet'!$B$9:$B$40,0),MATCH('3 Statement Model'!D$9,' Balance Sheet'!$E$6:$G$6,0))</f>
        <v>449.428</v>
      </c>
      <c r="E73" s="174">
        <f>INDEX(' Balance Sheet'!$E$9:$G$40,MATCH('3 Statement Model'!$B73,' Balance Sheet'!$B$9:$B$40,0),MATCH('3 Statement Model'!E$9,' Balance Sheet'!$E$6:$G$6,0))</f>
        <v>1807.0808</v>
      </c>
      <c r="F73" s="174">
        <v>903.54039999999998</v>
      </c>
      <c r="G73" s="174">
        <v>903.54039999999998</v>
      </c>
      <c r="H73" s="174">
        <v>903.54039999999998</v>
      </c>
      <c r="I73" s="174">
        <v>903.54039999999998</v>
      </c>
      <c r="J73" s="174">
        <v>903.54039999999998</v>
      </c>
      <c r="K73" s="174">
        <v>903.54039999999998</v>
      </c>
    </row>
    <row r="74" spans="2:11" ht="14.4" customHeight="1" x14ac:dyDescent="0.3">
      <c r="B74" s="2" t="s">
        <v>41</v>
      </c>
      <c r="C74" s="4"/>
      <c r="D74" s="178">
        <f>SUM(D71:D73)</f>
        <v>7936.6279999999997</v>
      </c>
      <c r="E74" s="178">
        <f t="shared" ref="E74:F74" si="58">SUM(E71:E73)</f>
        <v>8647.4807999999994</v>
      </c>
      <c r="F74" s="178">
        <f t="shared" si="58"/>
        <v>7097.1403999999993</v>
      </c>
      <c r="G74" s="178">
        <f t="shared" ref="G74" si="59">SUM(G71:G73)</f>
        <v>7517.1403999999993</v>
      </c>
      <c r="H74" s="178">
        <f t="shared" ref="H74" si="60">SUM(H71:H73)</f>
        <v>7887.1403999999993</v>
      </c>
      <c r="I74" s="178">
        <f t="shared" ref="I74" si="61">SUM(I71:I73)</f>
        <v>7757.1403999999993</v>
      </c>
      <c r="J74" s="178">
        <f t="shared" ref="J74" si="62">SUM(J71:J73)</f>
        <v>7627.1403999999993</v>
      </c>
      <c r="K74" s="178">
        <f t="shared" ref="K74" si="63">SUM(K71:K73)</f>
        <v>7497.1403999999993</v>
      </c>
    </row>
    <row r="75" spans="2:11" ht="14.4" customHeight="1" x14ac:dyDescent="0.3">
      <c r="B75" s="6"/>
      <c r="C75" s="4"/>
      <c r="D75" s="176"/>
      <c r="E75" s="177"/>
      <c r="F75" s="177"/>
      <c r="G75" s="27"/>
      <c r="H75" s="27"/>
      <c r="I75" s="27"/>
      <c r="J75" s="27"/>
      <c r="K75" s="27"/>
    </row>
    <row r="76" spans="2:11" ht="14.4" customHeight="1" x14ac:dyDescent="0.3">
      <c r="B76" s="159" t="s">
        <v>42</v>
      </c>
      <c r="C76" s="4"/>
      <c r="D76" s="174">
        <f>INDEX(' Balance Sheet'!$E$9:$G$40,MATCH('3 Statement Model'!$B76,' Balance Sheet'!$B$9:$B$40,0),MATCH('3 Statement Model'!D$9,' Balance Sheet'!$E$6:$G$6,0))</f>
        <v>980</v>
      </c>
      <c r="E76" s="174">
        <f>INDEX(' Balance Sheet'!$E$9:$G$40,MATCH('3 Statement Model'!$B76,' Balance Sheet'!$B$9:$B$40,0),MATCH('3 Statement Model'!E$9,' Balance Sheet'!$E$6:$G$6,0))</f>
        <v>980</v>
      </c>
      <c r="F76" s="174">
        <f>INDEX(' Balance Sheet'!$E$9:$G$40,MATCH('3 Statement Model'!$B76,' Balance Sheet'!$B$9:$B$40,0),MATCH('3 Statement Model'!F$9,' Balance Sheet'!$E$6:$G$6,0))</f>
        <v>980</v>
      </c>
      <c r="G76" s="176">
        <f>F76</f>
        <v>980</v>
      </c>
      <c r="H76" s="176">
        <f t="shared" ref="H76:K76" si="64">G76</f>
        <v>980</v>
      </c>
      <c r="I76" s="176">
        <f t="shared" si="64"/>
        <v>980</v>
      </c>
      <c r="J76" s="176">
        <f t="shared" si="64"/>
        <v>980</v>
      </c>
      <c r="K76" s="176">
        <f t="shared" si="64"/>
        <v>980</v>
      </c>
    </row>
    <row r="77" spans="2:11" ht="14.4" customHeight="1" x14ac:dyDescent="0.3">
      <c r="B77" s="173" t="s">
        <v>43</v>
      </c>
      <c r="C77" s="17"/>
      <c r="D77" s="174">
        <f>INDEX(' Balance Sheet'!$E$9:$G$40,MATCH('3 Statement Model'!$B77,' Balance Sheet'!$B$9:$B$40,0),MATCH('3 Statement Model'!D$9,' Balance Sheet'!$E$6:$G$6,0))</f>
        <v>7606.0544</v>
      </c>
      <c r="E77" s="174">
        <f>INDEX(' Balance Sheet'!$E$9:$G$40,MATCH('3 Statement Model'!$B77,' Balance Sheet'!$B$9:$B$40,0),MATCH('3 Statement Model'!E$9,' Balance Sheet'!$E$6:$G$6,0))</f>
        <v>9487.3251199999995</v>
      </c>
      <c r="F77" s="174">
        <f>INDEX(' Balance Sheet'!$E$9:$G$40,MATCH('3 Statement Model'!$B77,' Balance Sheet'!$B$9:$B$40,0),MATCH('3 Statement Model'!F$9,' Balance Sheet'!$E$6:$G$6,0))</f>
        <v>13098.562399999999</v>
      </c>
      <c r="G77" s="174">
        <f>Schedules!F266</f>
        <v>18056.367260749998</v>
      </c>
      <c r="H77" s="174">
        <f>Schedules!G266</f>
        <v>23824.301422003773</v>
      </c>
      <c r="I77" s="174">
        <f>Schedules!H266</f>
        <v>30725.959822404078</v>
      </c>
      <c r="J77" s="174">
        <f>Schedules!I266</f>
        <v>38378.650321108602</v>
      </c>
      <c r="K77" s="174">
        <f>Schedules!J266</f>
        <v>47340.522539651902</v>
      </c>
    </row>
    <row r="78" spans="2:11" ht="14.4" customHeight="1" x14ac:dyDescent="0.3">
      <c r="B78" s="2" t="s">
        <v>44</v>
      </c>
      <c r="C78" s="4"/>
      <c r="D78" s="178">
        <f>SUM(D76:D77)</f>
        <v>8586.0544000000009</v>
      </c>
      <c r="E78" s="178">
        <f t="shared" ref="E78:F78" si="65">SUM(E76:E77)</f>
        <v>10467.32512</v>
      </c>
      <c r="F78" s="178">
        <f t="shared" si="65"/>
        <v>14078.562399999999</v>
      </c>
      <c r="G78" s="178">
        <f>SUM(G76:G77)</f>
        <v>19036.367260749998</v>
      </c>
      <c r="H78" s="178">
        <f t="shared" ref="H78:K78" si="66">SUM(H76:H77)</f>
        <v>24804.301422003773</v>
      </c>
      <c r="I78" s="178">
        <f t="shared" si="66"/>
        <v>31705.959822404078</v>
      </c>
      <c r="J78" s="178">
        <f t="shared" si="66"/>
        <v>39358.650321108602</v>
      </c>
      <c r="K78" s="178">
        <f t="shared" si="66"/>
        <v>48320.522539651902</v>
      </c>
    </row>
    <row r="79" spans="2:11" ht="14.4" customHeight="1" x14ac:dyDescent="0.3">
      <c r="B79" s="6"/>
      <c r="C79" s="4"/>
      <c r="D79" s="176"/>
      <c r="E79" s="177"/>
      <c r="F79" s="177"/>
      <c r="G79" s="177"/>
      <c r="H79" s="177"/>
      <c r="I79" s="177"/>
      <c r="J79" s="177"/>
      <c r="K79" s="177"/>
    </row>
    <row r="80" spans="2:11" ht="14.4" customHeight="1" thickBot="1" x14ac:dyDescent="0.35">
      <c r="B80" s="172" t="s">
        <v>45</v>
      </c>
      <c r="C80" s="36"/>
      <c r="D80" s="179">
        <f>SUM(D78,D74,D69)</f>
        <v>24029.580400000003</v>
      </c>
      <c r="E80" s="179">
        <f t="shared" ref="E80:F80" si="67">SUM(E78,E74,E69)</f>
        <v>27788.51152</v>
      </c>
      <c r="F80" s="179">
        <f t="shared" si="67"/>
        <v>30834.23</v>
      </c>
      <c r="G80" s="179">
        <f>SUM(G78,G74,G69)</f>
        <v>37027.597091290358</v>
      </c>
      <c r="H80" s="240">
        <f t="shared" ref="H80:K80" si="68">SUM(H78,H74,H69)</f>
        <v>44053.625388028842</v>
      </c>
      <c r="I80" s="179">
        <f t="shared" si="68"/>
        <v>51764.463673186969</v>
      </c>
      <c r="J80" s="179">
        <f t="shared" si="68"/>
        <v>60171.828784719066</v>
      </c>
      <c r="K80" s="179">
        <f t="shared" si="68"/>
        <v>69958.345315330153</v>
      </c>
    </row>
    <row r="83" spans="1:12" ht="14.4" customHeight="1" x14ac:dyDescent="0.3">
      <c r="D83" s="90"/>
      <c r="E83" s="90"/>
      <c r="F83" s="90"/>
      <c r="G83" s="90"/>
      <c r="H83" s="90"/>
      <c r="I83" s="90"/>
      <c r="J83" s="90"/>
      <c r="K83" s="90"/>
    </row>
    <row r="84" spans="1:12" ht="14.4" customHeight="1" x14ac:dyDescent="0.3">
      <c r="B84" s="55" t="s">
        <v>256</v>
      </c>
      <c r="C84" s="55"/>
      <c r="D84" s="126">
        <f>D54-D69</f>
        <v>5885.1744000000008</v>
      </c>
      <c r="E84" s="126">
        <f t="shared" ref="E84:K84" si="69">E54-E69</f>
        <v>6506.8472000000002</v>
      </c>
      <c r="F84" s="126">
        <f t="shared" si="69"/>
        <v>7004.2756000000008</v>
      </c>
      <c r="G84" s="126">
        <f t="shared" si="69"/>
        <v>8723.7114557500063</v>
      </c>
      <c r="H84" s="126">
        <f t="shared" si="69"/>
        <v>11165.599856790284</v>
      </c>
      <c r="I84" s="126">
        <f t="shared" si="69"/>
        <v>14207.27053089218</v>
      </c>
      <c r="J84" s="126">
        <f t="shared" si="69"/>
        <v>18024.700561886519</v>
      </c>
      <c r="K84" s="126">
        <f t="shared" si="69"/>
        <v>23176.20908819688</v>
      </c>
    </row>
    <row r="85" spans="1:12" ht="14.4" customHeight="1" x14ac:dyDescent="0.3">
      <c r="B85" s="55" t="s">
        <v>257</v>
      </c>
      <c r="C85" s="55"/>
      <c r="D85" s="181">
        <f>D51/D13*365</f>
        <v>42.235979905324754</v>
      </c>
      <c r="E85" s="181">
        <f t="shared" ref="E85:K85" si="70">E51/E13*365</f>
        <v>41.830284679793493</v>
      </c>
      <c r="F85" s="181">
        <f t="shared" si="70"/>
        <v>41.18518909892942</v>
      </c>
      <c r="G85" s="181">
        <f t="shared" si="70"/>
        <v>41.21757183244268</v>
      </c>
      <c r="H85" s="181">
        <f t="shared" si="70"/>
        <v>41.21757183244268</v>
      </c>
      <c r="I85" s="181">
        <f t="shared" si="70"/>
        <v>41.21757183244268</v>
      </c>
      <c r="J85" s="181">
        <f t="shared" si="70"/>
        <v>41.21757183244268</v>
      </c>
      <c r="K85" s="181">
        <f t="shared" si="70"/>
        <v>41.21757183244268</v>
      </c>
    </row>
    <row r="86" spans="1:12" ht="14.4" customHeight="1" x14ac:dyDescent="0.3">
      <c r="B86" s="55" t="s">
        <v>258</v>
      </c>
      <c r="C86" s="55"/>
      <c r="D86" s="181">
        <f>D50/D14*365*-1</f>
        <v>70.599950657628654</v>
      </c>
      <c r="E86" s="181">
        <f t="shared" ref="E86:K86" si="71">E50/E14*365*-1</f>
        <v>70.857270326640332</v>
      </c>
      <c r="F86" s="181">
        <f t="shared" si="71"/>
        <v>72.565933958740942</v>
      </c>
      <c r="G86" s="181">
        <f t="shared" si="71"/>
        <v>72.60953107937469</v>
      </c>
      <c r="H86" s="181">
        <f t="shared" si="71"/>
        <v>72.60953107937469</v>
      </c>
      <c r="I86" s="181">
        <f t="shared" si="71"/>
        <v>72.60953107937469</v>
      </c>
      <c r="J86" s="181">
        <f t="shared" si="71"/>
        <v>72.60953107937469</v>
      </c>
      <c r="K86" s="181">
        <f t="shared" si="71"/>
        <v>72.60953107937469</v>
      </c>
    </row>
    <row r="87" spans="1:12" ht="14.4" customHeight="1" x14ac:dyDescent="0.3">
      <c r="B87" s="55" t="s">
        <v>259</v>
      </c>
      <c r="C87" s="55"/>
      <c r="D87" s="181">
        <f>D66/D14*365*-1</f>
        <v>70.664609386375034</v>
      </c>
      <c r="E87" s="181">
        <f t="shared" ref="E87:K87" si="72">E66/E14*365*-1</f>
        <v>74.174457875073983</v>
      </c>
      <c r="F87" s="181">
        <f t="shared" si="72"/>
        <v>78.575922643434055</v>
      </c>
      <c r="G87" s="181">
        <f t="shared" si="72"/>
        <v>78.623130524481127</v>
      </c>
      <c r="H87" s="181">
        <f t="shared" si="72"/>
        <v>78.623130524481127</v>
      </c>
      <c r="I87" s="181">
        <f t="shared" si="72"/>
        <v>78.623130524481127</v>
      </c>
      <c r="J87" s="181">
        <f t="shared" si="72"/>
        <v>78.623130524481127</v>
      </c>
      <c r="K87" s="181">
        <f t="shared" si="72"/>
        <v>78.623130524481127</v>
      </c>
    </row>
    <row r="88" spans="1:12" ht="14.4" customHeight="1" x14ac:dyDescent="0.3">
      <c r="B88" s="55" t="s">
        <v>218</v>
      </c>
      <c r="C88" s="55"/>
      <c r="D88" s="97">
        <f>D52/D13</f>
        <v>3.507912381914792E-2</v>
      </c>
      <c r="E88" s="97">
        <f t="shared" ref="E88:K88" si="73">E52/E13</f>
        <v>3.6434315204238975E-2</v>
      </c>
      <c r="F88" s="97">
        <f t="shared" si="73"/>
        <v>3.7670563443000571E-2</v>
      </c>
      <c r="G88" s="97">
        <f t="shared" si="73"/>
        <v>3.7700182727116012E-2</v>
      </c>
      <c r="H88" s="97">
        <f t="shared" si="73"/>
        <v>3.7700182727116012E-2</v>
      </c>
      <c r="I88" s="97">
        <f t="shared" si="73"/>
        <v>3.7700182727116012E-2</v>
      </c>
      <c r="J88" s="97">
        <f t="shared" si="73"/>
        <v>3.7700182727116012E-2</v>
      </c>
      <c r="K88" s="97">
        <f t="shared" si="73"/>
        <v>3.7700182727116012E-2</v>
      </c>
    </row>
    <row r="89" spans="1:12" ht="14.4" customHeight="1" x14ac:dyDescent="0.3">
      <c r="B89" s="55" t="s">
        <v>219</v>
      </c>
      <c r="C89" s="55"/>
      <c r="D89" s="97">
        <f>D53/D13</f>
        <v>2.0624790335339207E-3</v>
      </c>
      <c r="E89" s="97">
        <f t="shared" ref="E89:K89" si="74">E53/E13</f>
        <v>2.4733526363970265E-3</v>
      </c>
      <c r="F89" s="97">
        <f t="shared" si="74"/>
        <v>2.6036277257993783E-3</v>
      </c>
      <c r="G89" s="97">
        <f t="shared" si="74"/>
        <v>2.6056748836407518E-3</v>
      </c>
      <c r="H89" s="97">
        <f t="shared" si="74"/>
        <v>2.6056748836407518E-3</v>
      </c>
      <c r="I89" s="97">
        <f t="shared" si="74"/>
        <v>2.6056748836407518E-3</v>
      </c>
      <c r="J89" s="97">
        <f t="shared" si="74"/>
        <v>2.6056748836407518E-3</v>
      </c>
      <c r="K89" s="97">
        <f t="shared" si="74"/>
        <v>2.6056748836407518E-3</v>
      </c>
    </row>
    <row r="90" spans="1:12" ht="14.4" customHeight="1" x14ac:dyDescent="0.3">
      <c r="B90" s="55" t="s">
        <v>221</v>
      </c>
      <c r="C90" s="55"/>
      <c r="D90" s="97">
        <f>D68/D13</f>
        <v>3.9646810819317724E-3</v>
      </c>
      <c r="E90" s="97">
        <f t="shared" ref="E90:K90" si="75">E68/E13</f>
        <v>4.1065931832715893E-3</v>
      </c>
      <c r="F90" s="97">
        <f t="shared" si="75"/>
        <v>4.4665449704779274E-3</v>
      </c>
      <c r="G90" s="97">
        <f t="shared" si="75"/>
        <v>4.4700568867436646E-3</v>
      </c>
      <c r="H90" s="97">
        <f t="shared" si="75"/>
        <v>4.4700568867436646E-3</v>
      </c>
      <c r="I90" s="97">
        <f t="shared" si="75"/>
        <v>4.4700568867436646E-3</v>
      </c>
      <c r="J90" s="97">
        <f t="shared" si="75"/>
        <v>4.4700568867436646E-3</v>
      </c>
      <c r="K90" s="97">
        <f t="shared" si="75"/>
        <v>4.4700568867436646E-3</v>
      </c>
    </row>
    <row r="91" spans="1:12" ht="14.4" customHeight="1" x14ac:dyDescent="0.3">
      <c r="B91" s="55" t="s">
        <v>260</v>
      </c>
      <c r="C91" s="55"/>
      <c r="D91" s="97">
        <f>D67/D13</f>
        <v>5.5533697511358136E-2</v>
      </c>
      <c r="E91" s="97">
        <f t="shared" ref="E91:K91" si="76">E67/E13</f>
        <v>5.8235093417257543E-2</v>
      </c>
      <c r="F91" s="97">
        <f t="shared" si="76"/>
        <v>5.758973349615009E-2</v>
      </c>
      <c r="G91" s="97">
        <f t="shared" si="76"/>
        <v>5.7635014652646088E-2</v>
      </c>
      <c r="H91" s="97">
        <f t="shared" si="76"/>
        <v>5.7635014652646088E-2</v>
      </c>
      <c r="I91" s="97">
        <f t="shared" si="76"/>
        <v>5.7635014652646088E-2</v>
      </c>
      <c r="J91" s="97">
        <f t="shared" si="76"/>
        <v>5.7635014652646088E-2</v>
      </c>
      <c r="K91" s="97">
        <f t="shared" si="76"/>
        <v>5.7635014652646081E-2</v>
      </c>
    </row>
    <row r="93" spans="1:12" ht="18" customHeight="1" x14ac:dyDescent="0.35">
      <c r="A93" s="44" t="s">
        <v>52</v>
      </c>
      <c r="B93" s="76" t="s">
        <v>261</v>
      </c>
      <c r="C93" s="168"/>
      <c r="D93" s="169"/>
      <c r="E93" s="169"/>
      <c r="F93" s="169"/>
      <c r="G93" s="169"/>
      <c r="H93" s="169"/>
      <c r="I93" s="169"/>
      <c r="J93" s="169"/>
      <c r="K93" s="169"/>
      <c r="L93" s="168"/>
    </row>
    <row r="95" spans="1:12" ht="14.4" customHeight="1" x14ac:dyDescent="0.3">
      <c r="B95" t="s">
        <v>18</v>
      </c>
      <c r="G95" s="153">
        <f>G37</f>
        <v>7082.5783725000056</v>
      </c>
      <c r="H95" s="153">
        <f t="shared" ref="H95:K95" si="77">H37</f>
        <v>8239.905944648257</v>
      </c>
      <c r="I95" s="153">
        <f t="shared" si="77"/>
        <v>9859.5120005718636</v>
      </c>
      <c r="J95" s="153">
        <f t="shared" si="77"/>
        <v>10932.414998149319</v>
      </c>
      <c r="K95" s="153">
        <f t="shared" si="77"/>
        <v>12802.674597919005</v>
      </c>
    </row>
    <row r="96" spans="1:12" ht="14.4" customHeight="1" x14ac:dyDescent="0.3">
      <c r="B96" s="119" t="s">
        <v>288</v>
      </c>
      <c r="G96" s="153">
        <f>-G32</f>
        <v>653.16719999999998</v>
      </c>
      <c r="H96" s="153">
        <f t="shared" ref="H96:K96" si="78">-H32</f>
        <v>707.05439999999999</v>
      </c>
      <c r="I96" s="153">
        <f t="shared" si="78"/>
        <v>733.37160000000006</v>
      </c>
      <c r="J96" s="153">
        <f t="shared" si="78"/>
        <v>733.16880000000003</v>
      </c>
      <c r="K96" s="153">
        <f t="shared" si="78"/>
        <v>732.44600000000003</v>
      </c>
    </row>
    <row r="97" spans="2:11" ht="14.4" customHeight="1" x14ac:dyDescent="0.3">
      <c r="B97" s="119" t="s">
        <v>262</v>
      </c>
      <c r="G97" s="153">
        <f>G33</f>
        <v>0</v>
      </c>
      <c r="H97" s="153">
        <f t="shared" ref="H97:K97" si="79">H33</f>
        <v>0</v>
      </c>
      <c r="I97" s="153">
        <f t="shared" si="79"/>
        <v>0</v>
      </c>
      <c r="J97" s="153">
        <f t="shared" si="79"/>
        <v>0</v>
      </c>
      <c r="K97" s="153">
        <f t="shared" si="79"/>
        <v>0</v>
      </c>
    </row>
    <row r="98" spans="2:11" ht="14.4" customHeight="1" x14ac:dyDescent="0.3">
      <c r="B98" s="119" t="s">
        <v>263</v>
      </c>
      <c r="G98" s="85">
        <f>G27*-1</f>
        <v>1103.5072250000001</v>
      </c>
      <c r="H98" s="85">
        <f t="shared" ref="H98:K98" si="80">H27*-1</f>
        <v>1456.9200712475001</v>
      </c>
      <c r="I98" s="85">
        <f t="shared" si="80"/>
        <v>1846.5466127574255</v>
      </c>
      <c r="J98" s="85">
        <f t="shared" si="80"/>
        <v>2271.8409556047254</v>
      </c>
      <c r="K98" s="85">
        <f t="shared" si="80"/>
        <v>2736.2116891718188</v>
      </c>
    </row>
    <row r="99" spans="2:11" ht="14.4" customHeight="1" x14ac:dyDescent="0.3">
      <c r="B99" s="119" t="s">
        <v>264</v>
      </c>
      <c r="G99" s="85">
        <f t="shared" ref="G99:K99" si="81">G28*-1</f>
        <v>360.27457000000004</v>
      </c>
      <c r="H99" s="85">
        <f t="shared" si="81"/>
        <v>501.63970849900005</v>
      </c>
      <c r="I99" s="85">
        <f t="shared" si="81"/>
        <v>657.49032510297013</v>
      </c>
      <c r="J99" s="85">
        <f t="shared" si="81"/>
        <v>827.60806224189002</v>
      </c>
      <c r="K99" s="85">
        <f t="shared" si="81"/>
        <v>1013.3563556687274</v>
      </c>
    </row>
    <row r="100" spans="2:11" ht="14.4" customHeight="1" x14ac:dyDescent="0.3">
      <c r="B100" s="119" t="s">
        <v>265</v>
      </c>
      <c r="G100" s="147">
        <f>Schedules!F321*-1</f>
        <v>-514.49445126856256</v>
      </c>
      <c r="H100" s="147">
        <f>Schedules!G321*-1</f>
        <v>-570.19215793921308</v>
      </c>
      <c r="I100" s="147">
        <f>Schedules!H321*-1</f>
        <v>-622.56916172190472</v>
      </c>
      <c r="J100" s="147">
        <f>Schedules!I321*-1</f>
        <v>-616.27046624751506</v>
      </c>
      <c r="K100" s="147">
        <f>Schedules!J321*-1</f>
        <v>-676.27900590314391</v>
      </c>
    </row>
    <row r="101" spans="2:11" ht="14.4" customHeight="1" x14ac:dyDescent="0.3">
      <c r="B101" s="61" t="s">
        <v>269</v>
      </c>
      <c r="C101" s="61"/>
      <c r="D101" s="61"/>
      <c r="E101" s="61"/>
      <c r="F101" s="61"/>
      <c r="G101" s="148">
        <f>SUM(G95:G100)</f>
        <v>8685.032916231441</v>
      </c>
      <c r="H101" s="148">
        <f t="shared" ref="H101:K101" si="82">SUM(H95:H100)</f>
        <v>10335.327966455545</v>
      </c>
      <c r="I101" s="148">
        <f t="shared" si="82"/>
        <v>12474.351376710354</v>
      </c>
      <c r="J101" s="148">
        <f t="shared" si="82"/>
        <v>14148.762349748418</v>
      </c>
      <c r="K101" s="148">
        <f t="shared" si="82"/>
        <v>16608.409636856406</v>
      </c>
    </row>
    <row r="103" spans="2:11" ht="14.4" customHeight="1" x14ac:dyDescent="0.3">
      <c r="B103" t="s">
        <v>266</v>
      </c>
      <c r="G103" s="147">
        <f>Schedules!F196*-1</f>
        <v>-3201.3442500000001</v>
      </c>
      <c r="H103" s="147">
        <f>Schedules!G196*-1</f>
        <v>-3534.1284624750006</v>
      </c>
      <c r="I103" s="147">
        <f>Schedules!H196*-1</f>
        <v>-3896.265415099253</v>
      </c>
      <c r="J103" s="147">
        <f>Schedules!I196*-1</f>
        <v>-4252.9434284729978</v>
      </c>
      <c r="K103" s="147">
        <f>Schedules!J196*-1</f>
        <v>-4643.7073356709343</v>
      </c>
    </row>
    <row r="104" spans="2:11" ht="14.4" customHeight="1" x14ac:dyDescent="0.3">
      <c r="B104" t="s">
        <v>267</v>
      </c>
      <c r="G104" s="147">
        <f>Schedules!F200*-1</f>
        <v>-1920.80655</v>
      </c>
      <c r="H104" s="147">
        <f>Schedules!G200*-1</f>
        <v>-2120.4770774850003</v>
      </c>
      <c r="I104" s="147">
        <f>Schedules!H200*-1</f>
        <v>-2337.7592490595516</v>
      </c>
      <c r="J104" s="147">
        <f>Schedules!I200*-1</f>
        <v>-2551.7660570837984</v>
      </c>
      <c r="K104" s="147">
        <f>Schedules!J200*-1</f>
        <v>-2786.2244014025605</v>
      </c>
    </row>
    <row r="105" spans="2:11" ht="14.4" customHeight="1" x14ac:dyDescent="0.3">
      <c r="B105" s="61" t="s">
        <v>268</v>
      </c>
      <c r="C105" s="61"/>
      <c r="D105" s="61"/>
      <c r="E105" s="61"/>
      <c r="F105" s="61"/>
      <c r="G105" s="148">
        <f>SUM(G103:G104)</f>
        <v>-5122.1508000000003</v>
      </c>
      <c r="H105" s="148">
        <f t="shared" ref="H105:K105" si="83">SUM(H103:H104)</f>
        <v>-5654.6055399600009</v>
      </c>
      <c r="I105" s="148">
        <f t="shared" si="83"/>
        <v>-6234.0246641588046</v>
      </c>
      <c r="J105" s="148">
        <f t="shared" si="83"/>
        <v>-6804.7094855567957</v>
      </c>
      <c r="K105" s="148">
        <f t="shared" si="83"/>
        <v>-7429.9317370734952</v>
      </c>
    </row>
    <row r="107" spans="2:11" ht="14.4" customHeight="1" x14ac:dyDescent="0.3">
      <c r="B107" t="s">
        <v>270</v>
      </c>
      <c r="G107" s="153">
        <f>G71-F71</f>
        <v>420</v>
      </c>
      <c r="H107" s="153">
        <f t="shared" ref="H107:K107" si="84">H71-G71</f>
        <v>370</v>
      </c>
      <c r="I107" s="153">
        <f t="shared" si="84"/>
        <v>-130</v>
      </c>
      <c r="J107" s="153">
        <f t="shared" si="84"/>
        <v>-130</v>
      </c>
      <c r="K107" s="153">
        <f t="shared" si="84"/>
        <v>-130</v>
      </c>
    </row>
    <row r="108" spans="2:11" ht="14.4" customHeight="1" x14ac:dyDescent="0.3">
      <c r="B108" t="s">
        <v>271</v>
      </c>
      <c r="G108" s="153">
        <f>G72-F72</f>
        <v>0</v>
      </c>
      <c r="H108" s="153">
        <f t="shared" ref="H108:K108" si="85">H72-G72</f>
        <v>0</v>
      </c>
      <c r="I108" s="153">
        <f t="shared" si="85"/>
        <v>0</v>
      </c>
      <c r="J108" s="153">
        <f t="shared" si="85"/>
        <v>0</v>
      </c>
      <c r="K108" s="153">
        <f t="shared" si="85"/>
        <v>0</v>
      </c>
    </row>
    <row r="109" spans="2:11" ht="14.4" customHeight="1" x14ac:dyDescent="0.3">
      <c r="B109" t="s">
        <v>272</v>
      </c>
      <c r="G109" s="153">
        <f>G32</f>
        <v>-653.16719999999998</v>
      </c>
      <c r="H109" s="153">
        <f t="shared" ref="H109:K109" si="86">H32</f>
        <v>-707.05439999999999</v>
      </c>
      <c r="I109" s="153">
        <f t="shared" si="86"/>
        <v>-733.37160000000006</v>
      </c>
      <c r="J109" s="153">
        <f t="shared" si="86"/>
        <v>-733.16880000000003</v>
      </c>
      <c r="K109" s="153">
        <f t="shared" si="86"/>
        <v>-732.44600000000003</v>
      </c>
    </row>
    <row r="110" spans="2:11" ht="14.4" customHeight="1" x14ac:dyDescent="0.3">
      <c r="B110" t="s">
        <v>273</v>
      </c>
      <c r="G110" s="153">
        <f>G33</f>
        <v>0</v>
      </c>
      <c r="H110" s="153">
        <f>H33</f>
        <v>0</v>
      </c>
      <c r="I110" s="153">
        <f>I33</f>
        <v>0</v>
      </c>
      <c r="J110" s="153">
        <f>J33</f>
        <v>0</v>
      </c>
      <c r="K110" s="153">
        <f>K33</f>
        <v>0</v>
      </c>
    </row>
    <row r="111" spans="2:11" ht="14.4" customHeight="1" x14ac:dyDescent="0.3">
      <c r="B111" t="s">
        <v>289</v>
      </c>
      <c r="G111" s="153">
        <f>Schedules!F265</f>
        <v>-2124.7735117500001</v>
      </c>
      <c r="H111" s="153">
        <f>Schedules!G265</f>
        <v>-2471.971783394476</v>
      </c>
      <c r="I111" s="153">
        <f>Schedules!H265</f>
        <v>-2957.8536001715579</v>
      </c>
      <c r="J111" s="153">
        <f>Schedules!I265</f>
        <v>-3279.724499444796</v>
      </c>
      <c r="K111" s="153">
        <f>Schedules!J265</f>
        <v>-3840.8023793757002</v>
      </c>
    </row>
    <row r="112" spans="2:11" ht="14.4" customHeight="1" x14ac:dyDescent="0.3">
      <c r="B112" s="61" t="s">
        <v>268</v>
      </c>
      <c r="C112" s="61"/>
      <c r="D112" s="61"/>
      <c r="E112" s="61"/>
      <c r="F112" s="61"/>
      <c r="G112" s="148">
        <f>SUM(G107:G111)</f>
        <v>-2357.94071175</v>
      </c>
      <c r="H112" s="148">
        <f t="shared" ref="H112:K112" si="87">SUM(H107:H111)</f>
        <v>-2809.026183394476</v>
      </c>
      <c r="I112" s="148">
        <f t="shared" si="87"/>
        <v>-3821.2252001715578</v>
      </c>
      <c r="J112" s="148">
        <f t="shared" si="87"/>
        <v>-4142.893299444796</v>
      </c>
      <c r="K112" s="148">
        <f t="shared" si="87"/>
        <v>-4703.2483793757001</v>
      </c>
    </row>
    <row r="114" spans="2:11" ht="14.4" customHeight="1" x14ac:dyDescent="0.3">
      <c r="B114" t="s">
        <v>274</v>
      </c>
      <c r="G114" s="153">
        <f>SUM(G112,G105,G101)</f>
        <v>1204.9414044814403</v>
      </c>
      <c r="H114" s="153">
        <f t="shared" ref="H114:K114" si="88">SUM(H112,H105,H101)</f>
        <v>1871.6962431010688</v>
      </c>
      <c r="I114" s="153">
        <f t="shared" si="88"/>
        <v>2419.1015123799916</v>
      </c>
      <c r="J114" s="153">
        <f t="shared" si="88"/>
        <v>3201.1595647468257</v>
      </c>
      <c r="K114" s="153">
        <f t="shared" si="88"/>
        <v>4475.2295204072107</v>
      </c>
    </row>
    <row r="115" spans="2:11" ht="14.4" customHeight="1" x14ac:dyDescent="0.3">
      <c r="B115" t="s">
        <v>275</v>
      </c>
      <c r="G115" s="147">
        <f>' Balance Sheet'!G9</f>
        <v>2181.2644</v>
      </c>
      <c r="H115" s="153">
        <f>G116</f>
        <v>3386.2058044814403</v>
      </c>
      <c r="I115" s="153">
        <f t="shared" ref="I115:K115" si="89">H116</f>
        <v>5257.9020475825091</v>
      </c>
      <c r="J115" s="153">
        <f t="shared" si="89"/>
        <v>7677.0035599625007</v>
      </c>
      <c r="K115" s="153">
        <f t="shared" si="89"/>
        <v>10878.163124709326</v>
      </c>
    </row>
    <row r="116" spans="2:11" ht="14.4" customHeight="1" x14ac:dyDescent="0.3">
      <c r="B116" s="61" t="s">
        <v>276</v>
      </c>
      <c r="C116" s="61"/>
      <c r="D116" s="61"/>
      <c r="E116" s="61"/>
      <c r="F116" s="186"/>
      <c r="G116" s="148">
        <f>SUM(G114:G115)</f>
        <v>3386.2058044814403</v>
      </c>
      <c r="H116" s="148">
        <f t="shared" ref="H116:K116" si="90">SUM(H114:H115)</f>
        <v>5257.9020475825091</v>
      </c>
      <c r="I116" s="148">
        <f t="shared" si="90"/>
        <v>7677.0035599625007</v>
      </c>
      <c r="J116" s="148">
        <f t="shared" si="90"/>
        <v>10878.163124709326</v>
      </c>
      <c r="K116" s="148">
        <f t="shared" si="90"/>
        <v>15353.392645116537</v>
      </c>
    </row>
  </sheetData>
  <mergeCells count="3">
    <mergeCell ref="G8:K8"/>
    <mergeCell ref="D8:F8"/>
    <mergeCell ref="M7:N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3" name="Drop Down 1">
              <controlPr defaultSize="0" autoLine="0" autoPict="0">
                <anchor moveWithCells="1">
                  <from>
                    <xdr:col>6</xdr:col>
                    <xdr:colOff>38100</xdr:colOff>
                    <xdr:row>2</xdr:row>
                    <xdr:rowOff>198120</xdr:rowOff>
                  </from>
                  <to>
                    <xdr:col>7</xdr:col>
                    <xdr:colOff>373380</xdr:colOff>
                    <xdr:row>4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BC57-8BF5-4B42-9B13-98EE2C199841}">
  <sheetPr>
    <pageSetUpPr autoPageBreaks="0"/>
  </sheetPr>
  <dimension ref="A2:M73"/>
  <sheetViews>
    <sheetView showGridLines="0" zoomScale="90" zoomScaleNormal="90" workbookViewId="0">
      <pane xSplit="1" ySplit="9" topLeftCell="B49" activePane="bottomRight" state="frozen"/>
      <selection pane="topRight" activeCell="B1" sqref="B1"/>
      <selection pane="bottomLeft" activeCell="A10" sqref="A10"/>
      <selection pane="bottomRight" activeCell="D60" sqref="D60"/>
    </sheetView>
  </sheetViews>
  <sheetFormatPr defaultRowHeight="14.4" customHeight="1" x14ac:dyDescent="0.3"/>
  <cols>
    <col min="1" max="1" width="1.88671875" customWidth="1"/>
    <col min="2" max="2" width="41.33203125" customWidth="1"/>
    <col min="3" max="3" width="18.88671875" bestFit="1" customWidth="1"/>
    <col min="4" max="4" width="18.88671875" customWidth="1"/>
    <col min="5" max="11" width="12.77734375" customWidth="1"/>
    <col min="12" max="12" width="1.88671875" customWidth="1"/>
    <col min="14" max="14" width="12.77734375" customWidth="1"/>
  </cols>
  <sheetData>
    <row r="2" spans="1:11" ht="19.95" customHeight="1" x14ac:dyDescent="0.45">
      <c r="B2" s="47" t="s">
        <v>47</v>
      </c>
      <c r="C2" s="44"/>
      <c r="D2" s="44"/>
    </row>
    <row r="3" spans="1:11" ht="14.4" customHeight="1" x14ac:dyDescent="0.35">
      <c r="B3" s="46" t="s">
        <v>307</v>
      </c>
    </row>
    <row r="4" spans="1:11" ht="14.4" customHeight="1" x14ac:dyDescent="0.3">
      <c r="F4" t="s">
        <v>59</v>
      </c>
      <c r="G4">
        <v>1</v>
      </c>
    </row>
    <row r="8" spans="1:11" ht="14.4" customHeight="1" x14ac:dyDescent="0.3">
      <c r="D8" s="236" t="s">
        <v>50</v>
      </c>
      <c r="E8" s="236"/>
      <c r="F8" s="236"/>
      <c r="G8" s="235" t="s">
        <v>51</v>
      </c>
      <c r="H8" s="235"/>
      <c r="I8" s="235"/>
      <c r="J8" s="235"/>
      <c r="K8" s="235"/>
    </row>
    <row r="9" spans="1:11" ht="14.4" customHeight="1" x14ac:dyDescent="0.3">
      <c r="B9" s="81" t="s">
        <v>49</v>
      </c>
      <c r="C9" s="45"/>
      <c r="D9" s="167">
        <v>2021</v>
      </c>
      <c r="E9" s="146">
        <f>D9+1</f>
        <v>2022</v>
      </c>
      <c r="F9" s="146">
        <f t="shared" ref="F9:K9" si="0">E9+1</f>
        <v>2023</v>
      </c>
      <c r="G9" s="146">
        <f t="shared" si="0"/>
        <v>2024</v>
      </c>
      <c r="H9" s="146">
        <f t="shared" si="0"/>
        <v>2025</v>
      </c>
      <c r="I9" s="146">
        <f t="shared" si="0"/>
        <v>2026</v>
      </c>
      <c r="J9" s="146">
        <f t="shared" si="0"/>
        <v>2027</v>
      </c>
      <c r="K9" s="146">
        <f t="shared" si="0"/>
        <v>2028</v>
      </c>
    </row>
    <row r="10" spans="1:11" ht="14.4" customHeight="1" x14ac:dyDescent="0.3">
      <c r="B10" s="150"/>
      <c r="D10" s="151"/>
      <c r="E10" s="151"/>
      <c r="F10" s="151"/>
      <c r="G10" s="151"/>
      <c r="H10" s="151"/>
      <c r="I10" s="151"/>
      <c r="J10" s="151"/>
      <c r="K10" s="151"/>
    </row>
    <row r="11" spans="1:11" s="44" customFormat="1" ht="18" customHeight="1" x14ac:dyDescent="0.35">
      <c r="A11" s="44" t="s">
        <v>52</v>
      </c>
      <c r="B11" s="76" t="s">
        <v>306</v>
      </c>
      <c r="C11" s="168"/>
      <c r="D11" s="169"/>
      <c r="E11" s="169"/>
      <c r="F11" s="169"/>
      <c r="G11" s="169"/>
      <c r="H11" s="169"/>
      <c r="I11" s="169"/>
      <c r="J11" s="169"/>
      <c r="K11" s="169"/>
    </row>
    <row r="13" spans="1:11" ht="14.4" customHeight="1" x14ac:dyDescent="0.3">
      <c r="B13" s="152" t="s">
        <v>200</v>
      </c>
      <c r="D13" s="197">
        <f>'3 Statement Model'!D13/'3 Statement Model'!D$13</f>
        <v>1</v>
      </c>
      <c r="E13" s="197">
        <f>'3 Statement Model'!E13/'3 Statement Model'!E$13</f>
        <v>1</v>
      </c>
      <c r="F13" s="197">
        <f>'3 Statement Model'!F13/'3 Statement Model'!F$13</f>
        <v>1</v>
      </c>
      <c r="G13" s="197">
        <f>'3 Statement Model'!G13/'3 Statement Model'!G$13</f>
        <v>1</v>
      </c>
      <c r="H13" s="197">
        <f>'3 Statement Model'!H13/'3 Statement Model'!H$13</f>
        <v>1</v>
      </c>
      <c r="I13" s="197">
        <f>'3 Statement Model'!I13/'3 Statement Model'!I$13</f>
        <v>1</v>
      </c>
      <c r="J13" s="197">
        <f>'3 Statement Model'!J13/'3 Statement Model'!J$13</f>
        <v>1</v>
      </c>
      <c r="K13" s="197">
        <f>'3 Statement Model'!K13/'3 Statement Model'!K$13</f>
        <v>1</v>
      </c>
    </row>
    <row r="14" spans="1:11" ht="14.4" customHeight="1" x14ac:dyDescent="0.3">
      <c r="B14" s="154" t="s">
        <v>4</v>
      </c>
      <c r="D14" s="197">
        <f>'3 Statement Model'!D14/'3 Statement Model'!D$13</f>
        <v>-0.51200006626438666</v>
      </c>
      <c r="E14" s="197">
        <f>'3 Statement Model'!E14/'3 Statement Model'!E$13</f>
        <v>-0.50524035297385883</v>
      </c>
      <c r="F14" s="197">
        <f>'3 Statement Model'!F14/'3 Statement Model'!F$13</f>
        <v>-0.48454214200371981</v>
      </c>
      <c r="G14" s="197">
        <f>'3 Statement Model'!G14/'3 Statement Model'!G$13</f>
        <v>-0.47112862432710878</v>
      </c>
      <c r="H14" s="197">
        <f>'3 Statement Model'!H14/'3 Statement Model'!H$13</f>
        <v>-0.45794659889720934</v>
      </c>
      <c r="I14" s="197">
        <f>'3 Statement Model'!I14/'3 Statement Model'!I$13</f>
        <v>-0.44453707949429194</v>
      </c>
      <c r="J14" s="197">
        <f>'3 Statement Model'!J14/'3 Statement Model'!J$13</f>
        <v>-0.43135982365207998</v>
      </c>
      <c r="K14" s="197">
        <f>'3 Statement Model'!K14/'3 Statement Model'!K$13</f>
        <v>-0.41851846021112299</v>
      </c>
    </row>
    <row r="15" spans="1:11" ht="14.4" customHeight="1" x14ac:dyDescent="0.3">
      <c r="B15" s="155" t="s">
        <v>5</v>
      </c>
      <c r="C15" s="64"/>
      <c r="D15" s="198">
        <f>'3 Statement Model'!D15/'3 Statement Model'!D$13</f>
        <v>0.4879999337356134</v>
      </c>
      <c r="E15" s="198">
        <f>'3 Statement Model'!E15/'3 Statement Model'!E$13</f>
        <v>0.49475964702614117</v>
      </c>
      <c r="F15" s="198">
        <f>'3 Statement Model'!F15/'3 Statement Model'!F$13</f>
        <v>0.51545785799628019</v>
      </c>
      <c r="G15" s="198">
        <f>'3 Statement Model'!G15/'3 Statement Model'!G$13</f>
        <v>0.52887137567289122</v>
      </c>
      <c r="H15" s="198">
        <f>'3 Statement Model'!H15/'3 Statement Model'!H$13</f>
        <v>0.54205340110279066</v>
      </c>
      <c r="I15" s="198">
        <f>'3 Statement Model'!I15/'3 Statement Model'!I$13</f>
        <v>0.555462920505708</v>
      </c>
      <c r="J15" s="198">
        <f>'3 Statement Model'!J15/'3 Statement Model'!J$13</f>
        <v>0.56864017634791997</v>
      </c>
      <c r="K15" s="198">
        <f>'3 Statement Model'!K15/'3 Statement Model'!K$13</f>
        <v>0.58148153978887707</v>
      </c>
    </row>
    <row r="16" spans="1:11" ht="14.4" customHeight="1" x14ac:dyDescent="0.3">
      <c r="B16" s="157"/>
      <c r="D16" s="196"/>
      <c r="E16" s="196"/>
      <c r="F16" s="196"/>
      <c r="G16" s="196"/>
      <c r="H16" s="196"/>
      <c r="I16" s="196"/>
      <c r="J16" s="196"/>
      <c r="K16" s="196"/>
    </row>
    <row r="17" spans="2:11" ht="14.4" customHeight="1" x14ac:dyDescent="0.3">
      <c r="B17" s="158" t="s">
        <v>238</v>
      </c>
      <c r="D17" s="196"/>
      <c r="E17" s="196"/>
      <c r="F17" s="196"/>
      <c r="G17" s="196"/>
      <c r="H17" s="196"/>
      <c r="I17" s="196"/>
      <c r="J17" s="196"/>
      <c r="K17" s="196"/>
    </row>
    <row r="18" spans="2:11" ht="14.4" customHeight="1" x14ac:dyDescent="0.3">
      <c r="B18" s="154" t="s">
        <v>7</v>
      </c>
      <c r="D18" s="197">
        <f>'3 Statement Model'!D18/'3 Statement Model'!D$13</f>
        <v>-6.027988420298439E-3</v>
      </c>
      <c r="E18" s="197">
        <f>'3 Statement Model'!E18/'3 Statement Model'!E$13</f>
        <v>-5.9885486718733979E-3</v>
      </c>
      <c r="F18" s="197">
        <f>'3 Statement Model'!F18/'3 Statement Model'!F$13</f>
        <v>-5.9884788122704057E-3</v>
      </c>
      <c r="G18" s="197">
        <f>'3 Statement Model'!G18/'3 Statement Model'!G$13</f>
        <v>-0.01</v>
      </c>
      <c r="H18" s="197">
        <f>'3 Statement Model'!H18/'3 Statement Model'!H$13</f>
        <v>-0.01</v>
      </c>
      <c r="I18" s="197">
        <f>'3 Statement Model'!I18/'3 Statement Model'!I$13</f>
        <v>-0.01</v>
      </c>
      <c r="J18" s="197">
        <f>'3 Statement Model'!J18/'3 Statement Model'!J$13</f>
        <v>-0.01</v>
      </c>
      <c r="K18" s="197">
        <f>'3 Statement Model'!K18/'3 Statement Model'!K$13</f>
        <v>-0.01</v>
      </c>
    </row>
    <row r="19" spans="2:11" ht="14.4" customHeight="1" x14ac:dyDescent="0.3">
      <c r="B19" s="154" t="s">
        <v>10</v>
      </c>
      <c r="D19" s="197">
        <f>'3 Statement Model'!D19/'3 Statement Model'!D$13</f>
        <v>-5.4999855046654264E-2</v>
      </c>
      <c r="E19" s="197">
        <f>'3 Statement Model'!E19/'3 Statement Model'!E$13</f>
        <v>-5.1999694233504923E-2</v>
      </c>
      <c r="F19" s="197">
        <f>'3 Statement Model'!F19/'3 Statement Model'!F$13</f>
        <v>-4.9999983119633523E-2</v>
      </c>
      <c r="G19" s="197">
        <f>'3 Statement Model'!G19/'3 Statement Model'!G$13</f>
        <v>-5.3418287489700615E-2</v>
      </c>
      <c r="H19" s="197">
        <f>'3 Statement Model'!H19/'3 Statement Model'!H$13</f>
        <v>-5.163741380992342E-2</v>
      </c>
      <c r="I19" s="197">
        <f>'3 Statement Model'!I19/'3 Statement Model'!I$13</f>
        <v>-5.0018859007327936E-2</v>
      </c>
      <c r="J19" s="197">
        <f>'3 Statement Model'!J19/'3 Statement Model'!J$13</f>
        <v>-4.8706753357536492E-2</v>
      </c>
      <c r="K19" s="197">
        <f>'3 Statement Model'!K19/'3 Statement Model'!K$13</f>
        <v>-4.7475248367148719E-2</v>
      </c>
    </row>
    <row r="20" spans="2:11" ht="14.4" customHeight="1" x14ac:dyDescent="0.3">
      <c r="B20" s="159" t="s">
        <v>11</v>
      </c>
      <c r="D20" s="197">
        <f>'3 Statement Model'!D20/'3 Statement Model'!D$13</f>
        <v>-2.4999896461895904E-2</v>
      </c>
      <c r="E20" s="197">
        <f>'3 Statement Model'!E20/'3 Statement Model'!E$13</f>
        <v>-2.4999766946268997E-2</v>
      </c>
      <c r="F20" s="197">
        <f>'3 Statement Model'!F20/'3 Statement Model'!F$13</f>
        <v>-2.4999822756151965E-2</v>
      </c>
      <c r="G20" s="197">
        <f>'3 Statement Model'!G20/'3 Statement Model'!G$13</f>
        <v>-2.5000000000000001E-2</v>
      </c>
      <c r="H20" s="197">
        <f>'3 Statement Model'!H20/'3 Statement Model'!H$13</f>
        <v>-2.5000000000000001E-2</v>
      </c>
      <c r="I20" s="197">
        <f>'3 Statement Model'!I20/'3 Statement Model'!I$13</f>
        <v>-2.5000000000000001E-2</v>
      </c>
      <c r="J20" s="197">
        <f>'3 Statement Model'!J20/'3 Statement Model'!J$13</f>
        <v>-2.5000000000000001E-2</v>
      </c>
      <c r="K20" s="197">
        <f>'3 Statement Model'!K20/'3 Statement Model'!K$13</f>
        <v>-2.5000000000000001E-2</v>
      </c>
    </row>
    <row r="21" spans="2:11" ht="14.4" customHeight="1" x14ac:dyDescent="0.3">
      <c r="B21" s="154" t="s">
        <v>12</v>
      </c>
      <c r="D21" s="197">
        <f>'3 Statement Model'!D21/'3 Statement Model'!D$13</f>
        <v>-2.5713895227721707E-2</v>
      </c>
      <c r="E21" s="197">
        <f>'3 Statement Model'!E21/'3 Statement Model'!E$13</f>
        <v>-2.3999686775785532E-2</v>
      </c>
      <c r="F21" s="197">
        <f>'3 Statement Model'!F21/'3 Statement Model'!F$13</f>
        <v>-2.1944476423360944E-2</v>
      </c>
      <c r="G21" s="197">
        <f>'3 Statement Model'!G21/'3 Statement Model'!G$13</f>
        <v>-1.9897891331118168E-2</v>
      </c>
      <c r="H21" s="197">
        <f>'3 Statement Model'!H21/'3 Statement Model'!H$13</f>
        <v>-2.2268573662680407E-2</v>
      </c>
      <c r="I21" s="197">
        <f>'3 Statement Model'!I21/'3 Statement Model'!I$13</f>
        <v>-2.0198829293048868E-2</v>
      </c>
      <c r="J21" s="197">
        <f>'3 Statement Model'!J21/'3 Statement Model'!J$13</f>
        <v>-1.8504831141912679E-2</v>
      </c>
      <c r="K21" s="197">
        <f>'3 Statement Model'!K21/'3 Statement Model'!K$13</f>
        <v>-1.6947665800439431E-2</v>
      </c>
    </row>
    <row r="22" spans="2:11" ht="14.4" customHeight="1" x14ac:dyDescent="0.3">
      <c r="B22" s="154" t="s">
        <v>13</v>
      </c>
      <c r="D22" s="197">
        <f>'3 Statement Model'!D22/'3 Statement Model'!D$13</f>
        <v>-0.15000004141524162</v>
      </c>
      <c r="E22" s="197">
        <f>'3 Statement Model'!E22/'3 Statement Model'!E$13</f>
        <v>-0.14999972033552281</v>
      </c>
      <c r="F22" s="197">
        <f>'3 Statement Model'!F22/'3 Statement Model'!F$13</f>
        <v>-0.14999994935890057</v>
      </c>
      <c r="G22" s="197">
        <f>'3 Statement Model'!G22/'3 Statement Model'!G$13</f>
        <v>-0.15</v>
      </c>
      <c r="H22" s="197">
        <f>'3 Statement Model'!H22/'3 Statement Model'!H$13</f>
        <v>-0.15</v>
      </c>
      <c r="I22" s="197">
        <f>'3 Statement Model'!I22/'3 Statement Model'!I$13</f>
        <v>-0.15</v>
      </c>
      <c r="J22" s="197">
        <f>'3 Statement Model'!J22/'3 Statement Model'!J$13</f>
        <v>-0.16</v>
      </c>
      <c r="K22" s="197">
        <f>'3 Statement Model'!K22/'3 Statement Model'!K$13</f>
        <v>-0.16</v>
      </c>
    </row>
    <row r="23" spans="2:11" ht="14.4" customHeight="1" x14ac:dyDescent="0.3">
      <c r="B23" s="154" t="s">
        <v>14</v>
      </c>
      <c r="D23" s="197">
        <f>'3 Statement Model'!D23/'3 Statement Model'!D$13</f>
        <v>-0.10274086069155169</v>
      </c>
      <c r="E23" s="197">
        <f>'3 Statement Model'!E23/'3 Statement Model'!E$13</f>
        <v>-9.7999653216048255E-2</v>
      </c>
      <c r="F23" s="197">
        <f>'3 Statement Model'!F23/'3 Statement Model'!F$13</f>
        <v>-9.8376074983938341E-2</v>
      </c>
      <c r="G23" s="197">
        <f>'3 Statement Model'!G23/'3 Statement Model'!G$13</f>
        <v>-0.09</v>
      </c>
      <c r="H23" s="197">
        <f>'3 Statement Model'!H23/'3 Statement Model'!H$13</f>
        <v>-0.09</v>
      </c>
      <c r="I23" s="197">
        <f>'3 Statement Model'!I23/'3 Statement Model'!I$13</f>
        <v>-0.09</v>
      </c>
      <c r="J23" s="197">
        <f>'3 Statement Model'!J23/'3 Statement Model'!J$13</f>
        <v>-0.09</v>
      </c>
      <c r="K23" s="197">
        <f>'3 Statement Model'!K23/'3 Statement Model'!K$13</f>
        <v>-9.0000000000000011E-2</v>
      </c>
    </row>
    <row r="24" spans="2:11" ht="14.4" customHeight="1" x14ac:dyDescent="0.3">
      <c r="B24" s="160" t="s">
        <v>239</v>
      </c>
      <c r="C24" s="64"/>
      <c r="D24" s="198">
        <f>'3 Statement Model'!D24/'3 Statement Model'!D$13</f>
        <v>0.12351739647224978</v>
      </c>
      <c r="E24" s="198">
        <f>'3 Statement Model'!E24/'3 Statement Model'!E$13</f>
        <v>0.13977257684713723</v>
      </c>
      <c r="F24" s="198">
        <f>'3 Statement Model'!F24/'3 Statement Model'!F$13</f>
        <v>0.16414907254202452</v>
      </c>
      <c r="G24" s="198">
        <f>'3 Statement Model'!G24/'3 Statement Model'!G$13</f>
        <v>0.18055519685207244</v>
      </c>
      <c r="H24" s="198">
        <f>'3 Statement Model'!H24/'3 Statement Model'!H$13</f>
        <v>0.19314741363018689</v>
      </c>
      <c r="I24" s="198">
        <f>'3 Statement Model'!I24/'3 Statement Model'!I$13</f>
        <v>0.21024523220533128</v>
      </c>
      <c r="J24" s="198">
        <f>'3 Statement Model'!J24/'3 Statement Model'!J$13</f>
        <v>0.21642859184847088</v>
      </c>
      <c r="K24" s="198">
        <f>'3 Statement Model'!K24/'3 Statement Model'!K$13</f>
        <v>0.2320586256212889</v>
      </c>
    </row>
    <row r="25" spans="2:11" ht="14.4" customHeight="1" x14ac:dyDescent="0.3">
      <c r="B25" s="161"/>
      <c r="D25" s="196"/>
      <c r="E25" s="196"/>
      <c r="F25" s="196"/>
      <c r="G25" s="196"/>
      <c r="H25" s="196"/>
      <c r="I25" s="196"/>
      <c r="J25" s="196"/>
      <c r="K25" s="196"/>
    </row>
    <row r="26" spans="2:11" ht="14.4" customHeight="1" x14ac:dyDescent="0.3">
      <c r="B26" s="161" t="s">
        <v>202</v>
      </c>
      <c r="D26" s="196"/>
      <c r="E26" s="196"/>
      <c r="F26" s="196"/>
      <c r="G26" s="196"/>
      <c r="H26" s="196"/>
      <c r="I26" s="196"/>
      <c r="J26" s="196"/>
      <c r="K26" s="196"/>
    </row>
    <row r="27" spans="2:11" ht="14.4" customHeight="1" x14ac:dyDescent="0.3">
      <c r="B27" s="154" t="s">
        <v>8</v>
      </c>
      <c r="D27" s="197">
        <f>'3 Statement Model'!D27/'3 Statement Model'!D$13</f>
        <v>-1.5131058532161006E-2</v>
      </c>
      <c r="E27" s="197">
        <f>'3 Statement Model'!E27/'3 Statement Model'!E$13</f>
        <v>-1.399963084289009E-2</v>
      </c>
      <c r="F27" s="197">
        <f>'3 Statement Model'!F27/'3 Statement Model'!F$13</f>
        <v>-1.3493489749059848E-2</v>
      </c>
      <c r="G27" s="197">
        <f>'3 Statement Model'!G27/'3 Statement Model'!G$13</f>
        <v>-1.7235060318802016E-2</v>
      </c>
      <c r="H27" s="197">
        <f>'3 Statement Model'!H27/'3 Statement Model'!H$13</f>
        <v>-2.0612154972816103E-2</v>
      </c>
      <c r="I27" s="197">
        <f>'3 Statement Model'!I27/'3 Statement Model'!I$13</f>
        <v>-2.369636582766509E-2</v>
      </c>
      <c r="J27" s="197">
        <f>'3 Statement Model'!J27/'3 Statement Model'!J$13</f>
        <v>-2.6709042734909136E-2</v>
      </c>
      <c r="K27" s="197">
        <f>'3 Statement Model'!K27/'3 Statement Model'!K$13</f>
        <v>-2.9461500169847419E-2</v>
      </c>
    </row>
    <row r="28" spans="2:11" ht="14.4" customHeight="1" x14ac:dyDescent="0.3">
      <c r="B28" s="154" t="s">
        <v>9</v>
      </c>
      <c r="D28" s="197">
        <f>'3 Statement Model'!D28/'3 Statement Model'!D$13</f>
        <v>-6.2209834463279184E-3</v>
      </c>
      <c r="E28" s="197">
        <f>'3 Statement Model'!E28/'3 Statement Model'!E$13</f>
        <v>-5.1167412749344183E-3</v>
      </c>
      <c r="F28" s="197">
        <f>'3 Statement Model'!F28/'3 Statement Model'!F$13</f>
        <v>-3.9999716409843148E-3</v>
      </c>
      <c r="G28" s="197">
        <f>'3 Statement Model'!G28/'3 Statement Model'!G$13</f>
        <v>-5.6269264075552014E-3</v>
      </c>
      <c r="H28" s="197">
        <f>'3 Statement Model'!H28/'3 Statement Model'!H$13</f>
        <v>-7.0970780183198913E-3</v>
      </c>
      <c r="I28" s="197">
        <f>'3 Statement Model'!I28/'3 Statement Model'!I$13</f>
        <v>-8.437442718288498E-3</v>
      </c>
      <c r="J28" s="197">
        <f>'3 Statement Model'!J28/'3 Statement Model'!J$13</f>
        <v>-9.7298268382920786E-3</v>
      </c>
      <c r="K28" s="197">
        <f>'3 Statement Model'!K28/'3 Statement Model'!K$13</f>
        <v>-1.0911070427334706E-2</v>
      </c>
    </row>
    <row r="29" spans="2:11" ht="14.4" customHeight="1" x14ac:dyDescent="0.3">
      <c r="B29" s="162" t="s">
        <v>240</v>
      </c>
      <c r="C29" s="61"/>
      <c r="D29" s="199">
        <f>'3 Statement Model'!D29/'3 Statement Model'!D$13</f>
        <v>0.10216535449376085</v>
      </c>
      <c r="E29" s="199">
        <f>'3 Statement Model'!E29/'3 Statement Model'!E$13</f>
        <v>0.12065620472931272</v>
      </c>
      <c r="F29" s="199">
        <f>'3 Statement Model'!F29/'3 Statement Model'!F$13</f>
        <v>0.14665561115198039</v>
      </c>
      <c r="G29" s="198">
        <f>'3 Statement Model'!G29/'3 Statement Model'!G$13</f>
        <v>0.15769321012571524</v>
      </c>
      <c r="H29" s="198">
        <f>'3 Statement Model'!H29/'3 Statement Model'!H$13</f>
        <v>0.16543818063905089</v>
      </c>
      <c r="I29" s="198">
        <f>'3 Statement Model'!I29/'3 Statement Model'!I$13</f>
        <v>0.17811142365937771</v>
      </c>
      <c r="J29" s="198">
        <f>'3 Statement Model'!J29/'3 Statement Model'!J$13</f>
        <v>0.17998972227526963</v>
      </c>
      <c r="K29" s="198">
        <f>'3 Statement Model'!K29/'3 Statement Model'!K$13</f>
        <v>0.19168605502410679</v>
      </c>
    </row>
    <row r="30" spans="2:11" ht="14.4" customHeight="1" x14ac:dyDescent="0.3">
      <c r="B30" s="154"/>
      <c r="D30" s="197"/>
      <c r="E30" s="197"/>
      <c r="F30" s="197"/>
      <c r="G30" s="197"/>
      <c r="H30" s="197"/>
      <c r="I30" s="197"/>
      <c r="J30" s="197"/>
      <c r="K30" s="197"/>
    </row>
    <row r="31" spans="2:11" ht="14.4" customHeight="1" x14ac:dyDescent="0.3">
      <c r="B31" s="154" t="s">
        <v>241</v>
      </c>
      <c r="D31" s="197"/>
      <c r="E31" s="197"/>
      <c r="F31" s="197"/>
      <c r="G31" s="197"/>
      <c r="H31" s="197"/>
      <c r="I31" s="197"/>
      <c r="J31" s="197"/>
      <c r="K31" s="197"/>
    </row>
    <row r="32" spans="2:11" ht="14.4" customHeight="1" x14ac:dyDescent="0.3">
      <c r="B32" s="154" t="s">
        <v>242</v>
      </c>
      <c r="D32" s="197">
        <f>'3 Statement Model'!D32/'3 Statement Model'!D$13</f>
        <v>-7.1192800374393784E-3</v>
      </c>
      <c r="E32" s="197">
        <f>'3 Statement Model'!E32/'3 Statement Model'!E$13</f>
        <v>-5.8561741526632462E-3</v>
      </c>
      <c r="F32" s="197">
        <f>'3 Statement Model'!F32/'3 Statement Model'!F$13</f>
        <v>-4.8007762267721936E-3</v>
      </c>
      <c r="G32" s="197">
        <f>'3 Statement Model'!G32/'3 Statement Model'!G$13</f>
        <v>-1.0201452093132439E-2</v>
      </c>
      <c r="H32" s="197">
        <f>'3 Statement Model'!H32/'3 Statement Model'!H$13</f>
        <v>-1.0003235698807051E-2</v>
      </c>
      <c r="I32" s="197">
        <f>'3 Statement Model'!I32/'3 Statement Model'!I$13</f>
        <v>-9.4112120436913079E-3</v>
      </c>
      <c r="J32" s="197">
        <f>'3 Statement Model'!J32/'3 Statement Model'!J$13</f>
        <v>-8.6195456432774757E-3</v>
      </c>
      <c r="K32" s="197">
        <f>'3 Statement Model'!K32/'3 Statement Model'!K$13</f>
        <v>-7.8864358480741168E-3</v>
      </c>
    </row>
    <row r="33" spans="1:13" ht="14.4" customHeight="1" x14ac:dyDescent="0.3">
      <c r="B33" s="154" t="s">
        <v>243</v>
      </c>
      <c r="D33" s="197">
        <f>'3 Statement Model'!D33/'3 Statement Model'!D$13</f>
        <v>0</v>
      </c>
      <c r="E33" s="197">
        <f>'3 Statement Model'!E33/'3 Statement Model'!E$13</f>
        <v>0</v>
      </c>
      <c r="F33" s="197">
        <f>'3 Statement Model'!F33/'3 Statement Model'!F$13</f>
        <v>0</v>
      </c>
      <c r="G33" s="197">
        <f>'3 Statement Model'!G33/'3 Statement Model'!G$13</f>
        <v>0</v>
      </c>
      <c r="H33" s="197">
        <f>'3 Statement Model'!H33/'3 Statement Model'!H$13</f>
        <v>0</v>
      </c>
      <c r="I33" s="197">
        <f>'3 Statement Model'!I33/'3 Statement Model'!I$13</f>
        <v>0</v>
      </c>
      <c r="J33" s="197">
        <f>'3 Statement Model'!J33/'3 Statement Model'!J$13</f>
        <v>0</v>
      </c>
      <c r="K33" s="197">
        <f>'3 Statement Model'!K33/'3 Statement Model'!K$13</f>
        <v>0</v>
      </c>
    </row>
    <row r="34" spans="1:13" ht="14.4" customHeight="1" x14ac:dyDescent="0.3">
      <c r="B34" s="162" t="s">
        <v>244</v>
      </c>
      <c r="C34" s="61"/>
      <c r="D34" s="199">
        <f>'3 Statement Model'!D34/'3 Statement Model'!D$13</f>
        <v>9.5046074456321475E-2</v>
      </c>
      <c r="E34" s="199">
        <f>'3 Statement Model'!E34/'3 Statement Model'!E$13</f>
        <v>0.11480003057664948</v>
      </c>
      <c r="F34" s="199">
        <f>'3 Statement Model'!F34/'3 Statement Model'!F$13</f>
        <v>0.1418548349252082</v>
      </c>
      <c r="G34" s="199">
        <f>'3 Statement Model'!G34/'3 Statement Model'!G$13</f>
        <v>0.1474917580325828</v>
      </c>
      <c r="H34" s="199">
        <f>'3 Statement Model'!H34/'3 Statement Model'!H$13</f>
        <v>0.15543494494024387</v>
      </c>
      <c r="I34" s="199">
        <f>'3 Statement Model'!I34/'3 Statement Model'!I$13</f>
        <v>0.16870021161568641</v>
      </c>
      <c r="J34" s="199">
        <f>'3 Statement Model'!J34/'3 Statement Model'!J$13</f>
        <v>0.17137017663199217</v>
      </c>
      <c r="K34" s="199">
        <f>'3 Statement Model'!K34/'3 Statement Model'!K$13</f>
        <v>0.18379961917603269</v>
      </c>
    </row>
    <row r="35" spans="1:13" ht="14.4" customHeight="1" x14ac:dyDescent="0.3">
      <c r="B35" s="154"/>
      <c r="D35" s="197"/>
      <c r="E35" s="197"/>
      <c r="F35" s="197"/>
      <c r="G35" s="197"/>
      <c r="H35" s="197"/>
      <c r="I35" s="197"/>
      <c r="J35" s="197"/>
      <c r="K35" s="197"/>
    </row>
    <row r="36" spans="1:13" ht="14.4" customHeight="1" x14ac:dyDescent="0.3">
      <c r="B36" s="154" t="s">
        <v>17</v>
      </c>
      <c r="D36" s="197">
        <f>'3 Statement Model'!D36/'3 Statement Model'!D$13</f>
        <v>-1.9151784002948771E-2</v>
      </c>
      <c r="E36" s="197">
        <f>'3 Statement Model'!E36/'3 Statement Model'!E$13</f>
        <v>-2.3132206161194879E-2</v>
      </c>
      <c r="F36" s="197">
        <f>'3 Statement Model'!F36/'3 Statement Model'!F$13</f>
        <v>-2.8583749237429432E-2</v>
      </c>
      <c r="G36" s="197">
        <f>'3 Statement Model'!G36/'3 Statement Model'!G$13</f>
        <v>-3.6872939508145679E-2</v>
      </c>
      <c r="H36" s="197">
        <f>'3 Statement Model'!H36/'3 Statement Model'!H$13</f>
        <v>-3.8858736235060955E-2</v>
      </c>
      <c r="I36" s="197">
        <f>'3 Statement Model'!I36/'3 Statement Model'!I$13</f>
        <v>-4.2175052903921588E-2</v>
      </c>
      <c r="J36" s="197">
        <f>'3 Statement Model'!J36/'3 Statement Model'!J$13</f>
        <v>-4.2842544157998048E-2</v>
      </c>
      <c r="K36" s="197">
        <f>'3 Statement Model'!K36/'3 Statement Model'!K$13</f>
        <v>-4.5949904794008158E-2</v>
      </c>
    </row>
    <row r="37" spans="1:13" ht="14.4" customHeight="1" thickBot="1" x14ac:dyDescent="0.35">
      <c r="B37" s="163" t="s">
        <v>18</v>
      </c>
      <c r="C37" s="164"/>
      <c r="D37" s="200">
        <f>'3 Statement Model'!D37/'3 Statement Model'!D$13</f>
        <v>7.5894290453372704E-2</v>
      </c>
      <c r="E37" s="200">
        <f>'3 Statement Model'!E37/'3 Statement Model'!E$13</f>
        <v>9.1667824415454596E-2</v>
      </c>
      <c r="F37" s="200">
        <f>'3 Statement Model'!F37/'3 Statement Model'!F$13</f>
        <v>0.11327108568777876</v>
      </c>
      <c r="G37" s="200">
        <f>'3 Statement Model'!G37/'3 Statement Model'!G$13</f>
        <v>0.11061881852443713</v>
      </c>
      <c r="H37" s="200">
        <f>'3 Statement Model'!H37/'3 Statement Model'!H$13</f>
        <v>0.11657620870518291</v>
      </c>
      <c r="I37" s="200">
        <f>'3 Statement Model'!I37/'3 Statement Model'!I$13</f>
        <v>0.12652515871176481</v>
      </c>
      <c r="J37" s="200">
        <f>'3 Statement Model'!J37/'3 Statement Model'!J$13</f>
        <v>0.12852763247399412</v>
      </c>
      <c r="K37" s="200">
        <f>'3 Statement Model'!K37/'3 Statement Model'!K$13</f>
        <v>0.13784971438202451</v>
      </c>
    </row>
    <row r="38" spans="1:13" ht="14.4" customHeight="1" x14ac:dyDescent="0.3">
      <c r="D38" s="197"/>
      <c r="E38" s="197"/>
      <c r="F38" s="197"/>
      <c r="G38" s="197"/>
      <c r="H38" s="197"/>
      <c r="I38" s="197"/>
      <c r="J38" s="197"/>
      <c r="K38" s="197"/>
    </row>
    <row r="39" spans="1:13" s="44" customFormat="1" ht="18" customHeight="1" x14ac:dyDescent="0.35">
      <c r="A39" s="44" t="s">
        <v>52</v>
      </c>
      <c r="B39" s="76" t="s">
        <v>308</v>
      </c>
      <c r="C39" s="168"/>
      <c r="D39" s="203"/>
      <c r="E39" s="203"/>
      <c r="F39" s="203"/>
      <c r="G39" s="203"/>
      <c r="H39" s="203"/>
      <c r="I39" s="203"/>
      <c r="J39" s="203"/>
      <c r="K39" s="203"/>
      <c r="L39"/>
      <c r="M39"/>
    </row>
    <row r="40" spans="1:13" ht="14.4" customHeight="1" x14ac:dyDescent="0.3">
      <c r="D40" s="197"/>
      <c r="E40" s="197"/>
      <c r="F40" s="197"/>
      <c r="G40" s="197"/>
      <c r="H40" s="197"/>
      <c r="I40" s="197"/>
      <c r="J40" s="197"/>
      <c r="K40" s="197"/>
    </row>
    <row r="41" spans="1:13" ht="14.4" customHeight="1" x14ac:dyDescent="0.3">
      <c r="B41" s="158" t="s">
        <v>20</v>
      </c>
      <c r="C41" s="4"/>
      <c r="D41" s="204"/>
      <c r="E41" s="204"/>
      <c r="F41" s="204"/>
      <c r="G41" s="204"/>
      <c r="H41" s="204"/>
      <c r="I41" s="204"/>
      <c r="J41" s="204"/>
      <c r="K41" s="204"/>
    </row>
    <row r="42" spans="1:13" ht="14.4" customHeight="1" x14ac:dyDescent="0.3">
      <c r="B42" s="154" t="s">
        <v>21</v>
      </c>
      <c r="C42" s="4"/>
      <c r="D42" s="204">
        <f>'3 Statement Model'!D49/'3 Statement Model'!D$62</f>
        <v>6.1225987949419212E-2</v>
      </c>
      <c r="E42" s="204">
        <f>'3 Statement Model'!E49/'3 Statement Model'!E$62</f>
        <v>7.0390974291378666E-2</v>
      </c>
      <c r="F42" s="204">
        <f>'3 Statement Model'!F49/'3 Statement Model'!F$62</f>
        <v>7.0741653026522799E-2</v>
      </c>
      <c r="G42" s="204">
        <f>'3 Statement Model'!G49/'3 Statement Model'!G$62</f>
        <v>9.1450865583657989E-2</v>
      </c>
      <c r="H42" s="204">
        <f>'3 Statement Model'!H49/'3 Statement Model'!H$62</f>
        <v>0.11935231212574147</v>
      </c>
      <c r="I42" s="204">
        <f>'3 Statement Model'!I49/'3 Statement Model'!I$62</f>
        <v>0.14830644452207556</v>
      </c>
      <c r="J42" s="204">
        <f>'3 Statement Model'!J49/'3 Statement Model'!J$62</f>
        <v>0.18078498434257143</v>
      </c>
      <c r="K42" s="204">
        <f>'3 Statement Model'!K49/'3 Statement Model'!K$62</f>
        <v>0.21946477687419094</v>
      </c>
      <c r="L42" s="201"/>
    </row>
    <row r="43" spans="1:13" ht="14.4" customHeight="1" x14ac:dyDescent="0.3">
      <c r="B43" s="154" t="s">
        <v>22</v>
      </c>
      <c r="C43" s="4"/>
      <c r="D43" s="204">
        <f>'3 Statement Model'!D50/'3 Statement Model'!D$62</f>
        <v>0.19504338910553762</v>
      </c>
      <c r="E43" s="204">
        <f>'3 Statement Model'!E50/'3 Statement Model'!E$62</f>
        <v>0.18552580609758401</v>
      </c>
      <c r="F43" s="204">
        <f>'3 Statement Model'!F50/'3 Statement Model'!F$62</f>
        <v>0.1813771513023027</v>
      </c>
      <c r="G43" s="204">
        <f>'3 Statement Model'!G50/'3 Statement Model'!G$62</f>
        <v>0.1620604732941717</v>
      </c>
      <c r="H43" s="204">
        <f>'3 Statement Model'!H50/'3 Statement Model'!H$62</f>
        <v>0.14616597181792923</v>
      </c>
      <c r="I43" s="204">
        <f>'3 Statement Model'!I50/'3 Statement Model'!I$62</f>
        <v>0.13312375832728776</v>
      </c>
      <c r="J43" s="204">
        <f>'3 Statement Model'!J50/'3 Statement Model'!J$62</f>
        <v>0.12130168984332552</v>
      </c>
      <c r="K43" s="204">
        <f>'3 Statement Model'!K50/'3 Statement Model'!K$62</f>
        <v>0.11052758840437736</v>
      </c>
    </row>
    <row r="44" spans="1:13" ht="14.4" customHeight="1" x14ac:dyDescent="0.3">
      <c r="B44" s="154" t="s">
        <v>23</v>
      </c>
      <c r="C44" s="4"/>
      <c r="D44" s="204">
        <f>'3 Statement Model'!D51/'3 Statement Model'!D$62</f>
        <v>0.22789741264063021</v>
      </c>
      <c r="E44" s="204">
        <f>'3 Statement Model'!E51/'3 Statement Model'!E$62</f>
        <v>0.21677674947304984</v>
      </c>
      <c r="F44" s="204">
        <f>'3 Statement Model'!F51/'3 Statement Model'!F$62</f>
        <v>0.21245125303923595</v>
      </c>
      <c r="G44" s="204">
        <f>'3 Statement Model'!G51/'3 Statement Model'!G$62</f>
        <v>0.19526588896255723</v>
      </c>
      <c r="H44" s="204">
        <f>'3 Statement Model'!H51/'3 Statement Model'!H$62</f>
        <v>0.1811841537728423</v>
      </c>
      <c r="I44" s="204">
        <f>'3 Statement Model'!I51/'3 Statement Model'!I$62</f>
        <v>0.16999507895231045</v>
      </c>
      <c r="J44" s="204">
        <f>'3 Statement Model'!J51/'3 Statement Model'!J$62</f>
        <v>0.1596305204136417</v>
      </c>
      <c r="K44" s="204">
        <f>'3 Statement Model'!K51/'3 Statement Model'!K$62</f>
        <v>0.14991491639589521</v>
      </c>
    </row>
    <row r="45" spans="1:13" ht="14.4" customHeight="1" x14ac:dyDescent="0.3">
      <c r="B45" s="154" t="s">
        <v>24</v>
      </c>
      <c r="C45" s="4"/>
      <c r="D45" s="204">
        <f>'3 Statement Model'!D52/'3 Statement Model'!D$62</f>
        <v>6.9087332045132177E-2</v>
      </c>
      <c r="E45" s="204">
        <f>'3 Statement Model'!E52/'3 Statement Model'!E$62</f>
        <v>6.8916839918599579E-2</v>
      </c>
      <c r="F45" s="204">
        <f>'3 Statement Model'!F52/'3 Statement Model'!F$62</f>
        <v>7.0927264926025399E-2</v>
      </c>
      <c r="G45" s="204">
        <f>'3 Statement Model'!G52/'3 Statement Model'!G$62</f>
        <v>6.5189897632212918E-2</v>
      </c>
      <c r="H45" s="204">
        <f>'3 Statement Model'!H52/'3 Statement Model'!H$62</f>
        <v>6.0488682891744493E-2</v>
      </c>
      <c r="I45" s="204">
        <f>'3 Statement Model'!I52/'3 Statement Model'!I$62</f>
        <v>5.67531884537502E-2</v>
      </c>
      <c r="J45" s="204">
        <f>'3 Statement Model'!J52/'3 Statement Model'!J$62</f>
        <v>5.3292960383559941E-2</v>
      </c>
      <c r="K45" s="204">
        <f>'3 Statement Model'!K52/'3 Statement Model'!K$62</f>
        <v>5.0049387045087816E-2</v>
      </c>
    </row>
    <row r="46" spans="1:13" ht="14.4" customHeight="1" x14ac:dyDescent="0.3">
      <c r="B46" s="170" t="s">
        <v>25</v>
      </c>
      <c r="C46" s="17"/>
      <c r="D46" s="204">
        <f>'3 Statement Model'!D53/'3 Statement Model'!D$62</f>
        <v>4.0619935252801994E-3</v>
      </c>
      <c r="E46" s="204">
        <f>'3 Statement Model'!E53/'3 Statement Model'!E$62</f>
        <v>4.6784369830831446E-3</v>
      </c>
      <c r="F46" s="204">
        <f>'3 Statement Model'!F53/'3 Statement Model'!F$62</f>
        <v>4.9021882498768415E-3</v>
      </c>
      <c r="G46" s="204">
        <f>'3 Statement Model'!G53/'3 Statement Model'!G$62</f>
        <v>4.5056460377629354E-3</v>
      </c>
      <c r="H46" s="204">
        <f>'3 Statement Model'!H53/'3 Statement Model'!H$62</f>
        <v>4.1807182446933931E-3</v>
      </c>
      <c r="I46" s="204">
        <f>'3 Statement Model'!I53/'3 Statement Model'!I$62</f>
        <v>3.9225368956661228E-3</v>
      </c>
      <c r="J46" s="204">
        <f>'3 Statement Model'!J53/'3 Statement Model'!J$62</f>
        <v>3.6833807769962117E-3</v>
      </c>
      <c r="K46" s="204">
        <f>'3 Statement Model'!K53/'3 Statement Model'!K$62</f>
        <v>3.4591989038610274E-3</v>
      </c>
    </row>
    <row r="47" spans="1:13" ht="14.4" customHeight="1" x14ac:dyDescent="0.3">
      <c r="B47" s="2" t="s">
        <v>26</v>
      </c>
      <c r="C47" s="21"/>
      <c r="D47" s="205">
        <f>'3 Statement Model'!D54/'3 Statement Model'!D$62</f>
        <v>0.55731611526599945</v>
      </c>
      <c r="E47" s="205">
        <f>'3 Statement Model'!E54/'3 Statement Model'!E$62</f>
        <v>0.54628880676369529</v>
      </c>
      <c r="F47" s="205">
        <f>'3 Statement Model'!F54/'3 Statement Model'!F$62</f>
        <v>0.54039951054396373</v>
      </c>
      <c r="G47" s="205">
        <f>'3 Statement Model'!G54/'3 Statement Model'!G$62</f>
        <v>0.51847277151036286</v>
      </c>
      <c r="H47" s="205">
        <f>'3 Statement Model'!H54/'3 Statement Model'!H$62</f>
        <v>0.51137183885295079</v>
      </c>
      <c r="I47" s="205">
        <f>'3 Statement Model'!I54/'3 Statement Model'!I$62</f>
        <v>0.51210100715108997</v>
      </c>
      <c r="J47" s="205">
        <f>'3 Statement Model'!J54/'3 Statement Model'!J$62</f>
        <v>0.5186935357600948</v>
      </c>
      <c r="K47" s="205">
        <f>'3 Statement Model'!K54/'3 Statement Model'!K$62</f>
        <v>0.53341586762341242</v>
      </c>
    </row>
    <row r="48" spans="1:13" ht="14.4" customHeight="1" x14ac:dyDescent="0.3">
      <c r="B48" s="157"/>
      <c r="C48" s="4"/>
      <c r="D48" s="204"/>
      <c r="E48" s="206"/>
      <c r="F48" s="206"/>
      <c r="G48" s="206"/>
      <c r="H48" s="206"/>
      <c r="I48" s="206"/>
      <c r="J48" s="206"/>
      <c r="K48" s="206"/>
    </row>
    <row r="49" spans="2:11" ht="14.4" customHeight="1" x14ac:dyDescent="0.3">
      <c r="B49" s="154" t="s">
        <v>27</v>
      </c>
      <c r="C49" s="4"/>
      <c r="D49" s="204">
        <f>'3 Statement Model'!D56/'3 Statement Model'!D$62</f>
        <v>0.29159893278868909</v>
      </c>
      <c r="E49" s="204">
        <f>'3 Statement Model'!E56/'3 Statement Model'!E$62</f>
        <v>0.29902004625255296</v>
      </c>
      <c r="F49" s="204">
        <f>'3 Statement Model'!F56/'3 Statement Model'!F$62</f>
        <v>0.30781699429497672</v>
      </c>
      <c r="G49" s="204">
        <f>'3 Statement Model'!G56/'3 Statement Model'!G$62</f>
        <v>0.31298647320881645</v>
      </c>
      <c r="H49" s="204">
        <f>'3 Statement Model'!H56/'3 Statement Model'!H$62</f>
        <v>0.31022067527593761</v>
      </c>
      <c r="I49" s="204">
        <f>'3 Statement Model'!I56/'3 Statement Model'!I$62</f>
        <v>0.30360720663102231</v>
      </c>
      <c r="J49" s="204">
        <f>'3 Statement Model'!J56/'3 Statement Model'!J$62</f>
        <v>0.29411050069217576</v>
      </c>
      <c r="K49" s="204">
        <f>'3 Statement Model'!K56/'3 Statement Model'!K$62</f>
        <v>0.2802333624326116</v>
      </c>
    </row>
    <row r="50" spans="2:11" ht="14.4" customHeight="1" x14ac:dyDescent="0.3">
      <c r="B50" s="154" t="s">
        <v>28</v>
      </c>
      <c r="C50" s="4"/>
      <c r="D50" s="204">
        <f>'3 Statement Model'!D57/'3 Statement Model'!D$62</f>
        <v>0.10404168355765381</v>
      </c>
      <c r="E50" s="204">
        <f>'3 Statement Model'!E57/'3 Statement Model'!E$62</f>
        <v>9.349552667223969E-2</v>
      </c>
      <c r="F50" s="204">
        <f>'3 Statement Model'!F57/'3 Statement Model'!F$62</f>
        <v>9.257774882006134E-2</v>
      </c>
      <c r="G50" s="204">
        <f>'3 Statement Model'!G57/'3 Statement Model'!G$62</f>
        <v>0.11923797185960304</v>
      </c>
      <c r="H50" s="204">
        <f>'3 Statement Model'!H57/'3 Statement Model'!H$62</f>
        <v>0.13696790890280874</v>
      </c>
      <c r="I50" s="204">
        <f>'3 Statement Model'!I57/'3 Statement Model'!I$62</f>
        <v>0.14902505165794644</v>
      </c>
      <c r="J50" s="204">
        <f>'3 Statement Model'!J57/'3 Statement Model'!J$62</f>
        <v>0.15685678927181629</v>
      </c>
      <c r="K50" s="204">
        <f>'3 Statement Model'!K57/'3 Statement Model'!K$62</f>
        <v>0.16025576166767302</v>
      </c>
    </row>
    <row r="51" spans="2:11" ht="14.4" customHeight="1" x14ac:dyDescent="0.3">
      <c r="B51" s="154" t="s">
        <v>29</v>
      </c>
      <c r="C51" s="4"/>
      <c r="D51" s="197">
        <f>'3 Statement Model'!D58/'3 Statement Model'!D$62</f>
        <v>0</v>
      </c>
      <c r="E51" s="197">
        <f>'3 Statement Model'!E58/'3 Statement Model'!E$62</f>
        <v>0</v>
      </c>
      <c r="F51" s="197">
        <f>'3 Statement Model'!F58/'3 Statement Model'!F$62</f>
        <v>0</v>
      </c>
      <c r="G51" s="197">
        <f>'3 Statement Model'!G58/'3 Statement Model'!G$62</f>
        <v>0</v>
      </c>
      <c r="H51" s="197">
        <f>'3 Statement Model'!H58/'3 Statement Model'!H$62</f>
        <v>0</v>
      </c>
      <c r="I51" s="197">
        <f>'3 Statement Model'!I58/'3 Statement Model'!I$62</f>
        <v>0</v>
      </c>
      <c r="J51" s="197">
        <f>'3 Statement Model'!J58/'3 Statement Model'!J$62</f>
        <v>0</v>
      </c>
      <c r="K51" s="197">
        <f>'3 Statement Model'!K58/'3 Statement Model'!K$62</f>
        <v>0</v>
      </c>
    </row>
    <row r="52" spans="2:11" ht="14.4" customHeight="1" x14ac:dyDescent="0.3">
      <c r="B52" s="170" t="s">
        <v>30</v>
      </c>
      <c r="C52" s="17"/>
      <c r="D52" s="204">
        <f>'3 Statement Model'!D59/'3 Statement Model'!D$62</f>
        <v>4.7043268387657745E-2</v>
      </c>
      <c r="E52" s="204">
        <f>'3 Statement Model'!E59/'3 Statement Model'!E$62</f>
        <v>6.11956203115121E-2</v>
      </c>
      <c r="F52" s="204">
        <f>'3 Statement Model'!F59/'3 Statement Model'!F$62</f>
        <v>5.9205746340998296E-2</v>
      </c>
      <c r="G52" s="204">
        <f>'3 Statement Model'!G59/'3 Statement Model'!G$62</f>
        <v>4.9302783421217723E-2</v>
      </c>
      <c r="H52" s="204">
        <f>'3 Statement Model'!H59/'3 Statement Model'!H$62</f>
        <v>4.1439576968302798E-2</v>
      </c>
      <c r="I52" s="204">
        <f>'3 Statement Model'!I59/'3 Statement Model'!I$62</f>
        <v>3.5266734559941115E-2</v>
      </c>
      <c r="J52" s="204">
        <f>'3 Statement Model'!J59/'3 Statement Model'!J$62</f>
        <v>3.033917427591316E-2</v>
      </c>
      <c r="K52" s="204">
        <f>'3 Statement Model'!K59/'3 Statement Model'!K$62</f>
        <v>2.6095008276302942E-2</v>
      </c>
    </row>
    <row r="53" spans="2:11" ht="14.4" customHeight="1" x14ac:dyDescent="0.3">
      <c r="B53" s="171" t="s">
        <v>31</v>
      </c>
      <c r="C53" s="4"/>
      <c r="D53" s="205">
        <f>'3 Statement Model'!D60/'3 Statement Model'!D$62</f>
        <v>0.44268388473400061</v>
      </c>
      <c r="E53" s="205">
        <f>'3 Statement Model'!E60/'3 Statement Model'!E$62</f>
        <v>0.45371119323630477</v>
      </c>
      <c r="F53" s="205">
        <f>'3 Statement Model'!F60/'3 Statement Model'!F$62</f>
        <v>0.45960048945603632</v>
      </c>
      <c r="G53" s="205">
        <f>'3 Statement Model'!G60/'3 Statement Model'!G$62</f>
        <v>0.48152722848963725</v>
      </c>
      <c r="H53" s="205">
        <f>'3 Statement Model'!H60/'3 Statement Model'!H$62</f>
        <v>0.48862816114704921</v>
      </c>
      <c r="I53" s="205">
        <f>'3 Statement Model'!I60/'3 Statement Model'!I$62</f>
        <v>0.48789899284890992</v>
      </c>
      <c r="J53" s="205">
        <f>'3 Statement Model'!J60/'3 Statement Model'!J$62</f>
        <v>0.48130646423990525</v>
      </c>
      <c r="K53" s="205">
        <f>'3 Statement Model'!K60/'3 Statement Model'!K$62</f>
        <v>0.46658413237658758</v>
      </c>
    </row>
    <row r="54" spans="2:11" ht="14.4" customHeight="1" x14ac:dyDescent="0.3">
      <c r="B54" s="154"/>
      <c r="C54" s="4"/>
      <c r="D54" s="204"/>
      <c r="E54" s="206"/>
      <c r="F54" s="206"/>
      <c r="G54" s="206"/>
      <c r="H54" s="206"/>
      <c r="I54" s="206"/>
      <c r="J54" s="206"/>
      <c r="K54" s="206"/>
    </row>
    <row r="55" spans="2:11" ht="14.4" customHeight="1" thickBot="1" x14ac:dyDescent="0.35">
      <c r="B55" s="172" t="s">
        <v>32</v>
      </c>
      <c r="C55" s="36"/>
      <c r="D55" s="207">
        <f>'3 Statement Model'!D62/'3 Statement Model'!D$62</f>
        <v>1</v>
      </c>
      <c r="E55" s="207">
        <f>'3 Statement Model'!E62/'3 Statement Model'!E$62</f>
        <v>1</v>
      </c>
      <c r="F55" s="207">
        <f>'3 Statement Model'!F62/'3 Statement Model'!F$62</f>
        <v>1</v>
      </c>
      <c r="G55" s="207">
        <f>'3 Statement Model'!G62/'3 Statement Model'!G$62</f>
        <v>1</v>
      </c>
      <c r="H55" s="207">
        <f>'3 Statement Model'!H62/'3 Statement Model'!H$62</f>
        <v>1</v>
      </c>
      <c r="I55" s="207">
        <f>'3 Statement Model'!I62/'3 Statement Model'!I$62</f>
        <v>1</v>
      </c>
      <c r="J55" s="207">
        <f>'3 Statement Model'!J62/'3 Statement Model'!J$62</f>
        <v>1</v>
      </c>
      <c r="K55" s="207">
        <f>'3 Statement Model'!K62/'3 Statement Model'!K$62</f>
        <v>1</v>
      </c>
    </row>
    <row r="56" spans="2:11" ht="14.4" customHeight="1" x14ac:dyDescent="0.3">
      <c r="B56" s="6"/>
      <c r="C56" s="4"/>
      <c r="D56" s="204"/>
      <c r="E56" s="206"/>
      <c r="F56" s="206"/>
      <c r="G56" s="206"/>
      <c r="H56" s="206"/>
      <c r="I56" s="206"/>
      <c r="J56" s="206"/>
      <c r="K56" s="206"/>
    </row>
    <row r="57" spans="2:11" ht="14.4" customHeight="1" x14ac:dyDescent="0.3">
      <c r="B57" s="6"/>
      <c r="C57" s="4"/>
      <c r="D57" s="204"/>
      <c r="E57" s="206"/>
      <c r="F57" s="206"/>
      <c r="G57" s="206"/>
      <c r="H57" s="206"/>
      <c r="I57" s="206"/>
      <c r="J57" s="206"/>
      <c r="K57" s="206"/>
    </row>
    <row r="58" spans="2:11" ht="14.4" customHeight="1" x14ac:dyDescent="0.3">
      <c r="B58" s="41" t="s">
        <v>33</v>
      </c>
      <c r="C58" s="4"/>
      <c r="D58" s="204"/>
      <c r="E58" s="206"/>
      <c r="F58" s="206"/>
      <c r="G58" s="206"/>
      <c r="H58" s="206"/>
      <c r="I58" s="206"/>
      <c r="J58" s="206"/>
      <c r="K58" s="206"/>
    </row>
    <row r="59" spans="2:11" ht="14.4" customHeight="1" x14ac:dyDescent="0.3">
      <c r="B59" s="159" t="s">
        <v>34</v>
      </c>
      <c r="C59" s="4"/>
      <c r="D59" s="204">
        <f>'3 Statement Model'!D66/'3 Statement Model'!D$80</f>
        <v>0.19522201894128788</v>
      </c>
      <c r="E59" s="204">
        <f>'3 Statement Model'!E66/'3 Statement Model'!E$80</f>
        <v>0.19421120833031216</v>
      </c>
      <c r="F59" s="204">
        <f>'3 Statement Model'!F66/'3 Statement Model'!F$80</f>
        <v>0.19639900201821159</v>
      </c>
      <c r="G59" s="204">
        <f>'3 Statement Model'!G66/'3 Statement Model'!G$80</f>
        <v>0.17548249596513688</v>
      </c>
      <c r="H59" s="204">
        <f>'3 Statement Model'!H66/'3 Statement Model'!H$80</f>
        <v>0.15827159478438063</v>
      </c>
      <c r="I59" s="204">
        <f>'3 Statement Model'!I66/'3 Statement Model'!I$80</f>
        <v>0.14414921114741849</v>
      </c>
      <c r="J59" s="204">
        <f>'3 Statement Model'!J66/'3 Statement Model'!J$80</f>
        <v>0.13134802623867936</v>
      </c>
      <c r="K59" s="204">
        <f>'3 Statement Model'!K66/'3 Statement Model'!K$80</f>
        <v>0.11968160213256024</v>
      </c>
    </row>
    <row r="60" spans="2:11" ht="14.4" customHeight="1" x14ac:dyDescent="0.3">
      <c r="B60" s="159" t="s">
        <v>35</v>
      </c>
      <c r="C60" s="4"/>
      <c r="D60" s="204">
        <f>'3 Statement Model'!D67/'3 Statement Model'!D$80</f>
        <v>0.10937203048289598</v>
      </c>
      <c r="E60" s="204">
        <f>'3 Statement Model'!E67/'3 Statement Model'!E$80</f>
        <v>0.1101538093466044</v>
      </c>
      <c r="F60" s="204">
        <f>'3 Statement Model'!F67/'3 Statement Model'!F$80</f>
        <v>0.10843167479778154</v>
      </c>
      <c r="G60" s="204">
        <f>'3 Statement Model'!G67/'3 Statement Model'!G$80</f>
        <v>9.9660543622105413E-2</v>
      </c>
      <c r="H60" s="204">
        <f>'3 Statement Model'!H67/'3 Statement Model'!H$80</f>
        <v>9.2473454307091363E-2</v>
      </c>
      <c r="I60" s="204">
        <f>'3 Statement Model'!I67/'3 Statement Model'!I$80</f>
        <v>8.6762731941975951E-2</v>
      </c>
      <c r="J60" s="204">
        <f>'3 Statement Model'!J67/'3 Statement Model'!J$80</f>
        <v>8.1472829318149351E-2</v>
      </c>
      <c r="K60" s="204">
        <f>'3 Statement Model'!K67/'3 Statement Model'!K$80</f>
        <v>7.6514142559442652E-2</v>
      </c>
    </row>
    <row r="61" spans="2:11" ht="14.4" customHeight="1" x14ac:dyDescent="0.3">
      <c r="B61" s="173" t="s">
        <v>36</v>
      </c>
      <c r="C61" s="17"/>
      <c r="D61" s="204">
        <f>'3 Statement Model'!D68/'3 Statement Model'!D$80</f>
        <v>7.8083261079332032E-3</v>
      </c>
      <c r="E61" s="204">
        <f>'3 Statement Model'!E68/'3 Statement Model'!E$80</f>
        <v>7.7677712188594398E-3</v>
      </c>
      <c r="F61" s="204">
        <f>'3 Statement Model'!F68/'3 Statement Model'!F$80</f>
        <v>8.4097446247238857E-3</v>
      </c>
      <c r="G61" s="204">
        <f>'3 Statement Model'!G68/'3 Statement Model'!G$80</f>
        <v>7.7294731690357409E-3</v>
      </c>
      <c r="H61" s="204">
        <f>'3 Statement Model'!H68/'3 Statement Model'!H$80</f>
        <v>7.1720568435287351E-3</v>
      </c>
      <c r="I61" s="204">
        <f>'3 Statement Model'!I68/'3 Statement Model'!I$80</f>
        <v>6.7291445966886423E-3</v>
      </c>
      <c r="J61" s="204">
        <f>'3 Statement Model'!J68/'3 Statement Model'!J$80</f>
        <v>6.3188702904123286E-3</v>
      </c>
      <c r="K61" s="204">
        <f>'3 Statement Model'!K68/'3 Statement Model'!K$80</f>
        <v>5.9342844266184374E-3</v>
      </c>
    </row>
    <row r="62" spans="2:11" ht="14.4" customHeight="1" x14ac:dyDescent="0.3">
      <c r="B62" s="2" t="s">
        <v>37</v>
      </c>
      <c r="C62" s="21"/>
      <c r="D62" s="205">
        <f>'3 Statement Model'!D69/'3 Statement Model'!D$80</f>
        <v>0.31240237553211703</v>
      </c>
      <c r="E62" s="205">
        <f>'3 Statement Model'!E69/'3 Statement Model'!E$80</f>
        <v>0.312132788895776</v>
      </c>
      <c r="F62" s="205">
        <f>'3 Statement Model'!F69/'3 Statement Model'!F$80</f>
        <v>0.31324042144071707</v>
      </c>
      <c r="G62" s="205">
        <f>'3 Statement Model'!G69/'3 Statement Model'!G$80</f>
        <v>0.28287251275627806</v>
      </c>
      <c r="H62" s="205">
        <f>'3 Statement Model'!H69/'3 Statement Model'!H$80</f>
        <v>0.25791710593500067</v>
      </c>
      <c r="I62" s="205">
        <f>'3 Statement Model'!I69/'3 Statement Model'!I$80</f>
        <v>0.23764108768608308</v>
      </c>
      <c r="J62" s="205">
        <f>'3 Statement Model'!J69/'3 Statement Model'!J$80</f>
        <v>0.21913972584724106</v>
      </c>
      <c r="K62" s="205">
        <f>'3 Statement Model'!K69/'3 Statement Model'!K$80</f>
        <v>0.20213002911862135</v>
      </c>
    </row>
    <row r="63" spans="2:11" ht="14.4" customHeight="1" x14ac:dyDescent="0.3">
      <c r="B63" s="6"/>
      <c r="C63" s="4"/>
      <c r="D63" s="204"/>
      <c r="E63" s="206"/>
      <c r="F63" s="206"/>
      <c r="G63" s="206"/>
      <c r="H63" s="206"/>
      <c r="I63" s="206"/>
      <c r="J63" s="206"/>
      <c r="K63" s="206"/>
    </row>
    <row r="64" spans="2:11" ht="14.4" customHeight="1" x14ac:dyDescent="0.3">
      <c r="B64" s="159" t="s">
        <v>38</v>
      </c>
      <c r="C64" s="4"/>
      <c r="D64" s="204">
        <f>'3 Statement Model'!D71/'3 Statement Model'!D$80</f>
        <v>0.31158263587490687</v>
      </c>
      <c r="E64" s="204">
        <f>'3 Statement Model'!E71/'3 Statement Model'!E$80</f>
        <v>0.246159280430577</v>
      </c>
      <c r="F64" s="204">
        <f>'3 Statement Model'!F71/'3 Statement Model'!F$80</f>
        <v>0.20086767206445563</v>
      </c>
      <c r="G64" s="204">
        <f>'3 Statement Model'!G71/'3 Statement Model'!G$80</f>
        <v>0.17861272454959418</v>
      </c>
      <c r="H64" s="204">
        <f>'3 Statement Model'!H71/'3 Statement Model'!H$80</f>
        <v>0.15852497810311264</v>
      </c>
      <c r="I64" s="204">
        <f>'3 Statement Model'!I71/'3 Statement Model'!I$80</f>
        <v>0.13239971041272541</v>
      </c>
      <c r="J64" s="204">
        <f>'3 Statement Model'!J71/'3 Statement Model'!J$80</f>
        <v>0.11173999753365467</v>
      </c>
      <c r="K64" s="204">
        <f>'3 Statement Model'!K71/'3 Statement Model'!K$80</f>
        <v>9.4250370992624483E-2</v>
      </c>
    </row>
    <row r="65" spans="2:11" ht="14.4" customHeight="1" x14ac:dyDescent="0.3">
      <c r="B65" s="159" t="s">
        <v>39</v>
      </c>
      <c r="C65" s="4"/>
      <c r="D65" s="204">
        <f>'3 Statement Model'!D72/'3 Statement Model'!D$80</f>
        <v>0</v>
      </c>
      <c r="E65" s="204">
        <f>'3 Statement Model'!E72/'3 Statement Model'!E$80</f>
        <v>0</v>
      </c>
      <c r="F65" s="204">
        <f>'3 Statement Model'!F72/'3 Statement Model'!F$80</f>
        <v>0</v>
      </c>
      <c r="G65" s="204">
        <f>'3 Statement Model'!G72/'3 Statement Model'!G$80</f>
        <v>0</v>
      </c>
      <c r="H65" s="204">
        <f>'3 Statement Model'!H72/'3 Statement Model'!H$80</f>
        <v>0</v>
      </c>
      <c r="I65" s="204">
        <f>'3 Statement Model'!I72/'3 Statement Model'!I$80</f>
        <v>0</v>
      </c>
      <c r="J65" s="204">
        <f>'3 Statement Model'!J72/'3 Statement Model'!J$80</f>
        <v>0</v>
      </c>
      <c r="K65" s="204">
        <f>'3 Statement Model'!K72/'3 Statement Model'!K$80</f>
        <v>0</v>
      </c>
    </row>
    <row r="66" spans="2:11" ht="14.4" customHeight="1" x14ac:dyDescent="0.3">
      <c r="B66" s="173" t="s">
        <v>40</v>
      </c>
      <c r="C66" s="17"/>
      <c r="D66" s="204">
        <f>'3 Statement Model'!D73/'3 Statement Model'!D$80</f>
        <v>1.870311476599899E-2</v>
      </c>
      <c r="E66" s="204">
        <f>'3 Statement Model'!E73/'3 Statement Model'!E$80</f>
        <v>6.5029780335639942E-2</v>
      </c>
      <c r="F66" s="204">
        <f>'3 Statement Model'!F73/'3 Statement Model'!F$80</f>
        <v>2.9303160805377659E-2</v>
      </c>
      <c r="G66" s="204">
        <f>'3 Statement Model'!G73/'3 Statement Model'!G$80</f>
        <v>2.4401810297663928E-2</v>
      </c>
      <c r="H66" s="204">
        <f>'3 Statement Model'!H73/'3 Statement Model'!H$80</f>
        <v>2.051001233250439E-2</v>
      </c>
      <c r="I66" s="204">
        <f>'3 Statement Model'!I73/'3 Statement Model'!I$80</f>
        <v>1.7454839399176796E-2</v>
      </c>
      <c r="J66" s="204">
        <f>'3 Statement Model'!J73/'3 Statement Model'!J$80</f>
        <v>1.5016003639056065E-2</v>
      </c>
      <c r="K66" s="204">
        <f>'3 Statement Model'!K73/'3 Statement Model'!K$80</f>
        <v>1.2915405530639457E-2</v>
      </c>
    </row>
    <row r="67" spans="2:11" ht="14.4" customHeight="1" x14ac:dyDescent="0.3">
      <c r="B67" s="2" t="s">
        <v>41</v>
      </c>
      <c r="C67" s="4"/>
      <c r="D67" s="205">
        <f>'3 Statement Model'!D74/'3 Statement Model'!D$80</f>
        <v>0.33028575064090587</v>
      </c>
      <c r="E67" s="205">
        <f>'3 Statement Model'!E74/'3 Statement Model'!E$80</f>
        <v>0.31118906076621694</v>
      </c>
      <c r="F67" s="205">
        <f>'3 Statement Model'!F74/'3 Statement Model'!F$80</f>
        <v>0.23017083286983328</v>
      </c>
      <c r="G67" s="205">
        <f>'3 Statement Model'!G74/'3 Statement Model'!G$80</f>
        <v>0.20301453484725812</v>
      </c>
      <c r="H67" s="205">
        <f>'3 Statement Model'!H74/'3 Statement Model'!H$80</f>
        <v>0.17903499043561702</v>
      </c>
      <c r="I67" s="205">
        <f>'3 Statement Model'!I74/'3 Statement Model'!I$80</f>
        <v>0.14985454981190222</v>
      </c>
      <c r="J67" s="205">
        <f>'3 Statement Model'!J74/'3 Statement Model'!J$80</f>
        <v>0.12675600117271074</v>
      </c>
      <c r="K67" s="205">
        <f>'3 Statement Model'!K74/'3 Statement Model'!K$80</f>
        <v>0.10716577652326394</v>
      </c>
    </row>
    <row r="68" spans="2:11" ht="14.4" customHeight="1" x14ac:dyDescent="0.3">
      <c r="B68" s="6"/>
      <c r="C68" s="4"/>
      <c r="D68" s="204"/>
      <c r="E68" s="206"/>
      <c r="F68" s="206"/>
      <c r="G68" s="206"/>
      <c r="H68" s="206"/>
      <c r="I68" s="206"/>
      <c r="J68" s="206"/>
      <c r="K68" s="206"/>
    </row>
    <row r="69" spans="2:11" ht="14.4" customHeight="1" x14ac:dyDescent="0.3">
      <c r="B69" s="159" t="s">
        <v>42</v>
      </c>
      <c r="C69" s="4"/>
      <c r="D69" s="204">
        <f>'3 Statement Model'!D76/'3 Statement Model'!D$80</f>
        <v>4.0783067522893568E-2</v>
      </c>
      <c r="E69" s="204">
        <f>'3 Statement Model'!E76/'3 Statement Model'!E$80</f>
        <v>3.5266372554523931E-2</v>
      </c>
      <c r="F69" s="204">
        <f>'3 Statement Model'!F76/'3 Statement Model'!F$80</f>
        <v>3.1782859503869561E-2</v>
      </c>
      <c r="G69" s="204">
        <f>'3 Statement Model'!G76/'3 Statement Model'!G$80</f>
        <v>2.6466745805401343E-2</v>
      </c>
      <c r="H69" s="204">
        <f>'3 Statement Model'!H76/'3 Statement Model'!H$80</f>
        <v>2.2245615232981613E-2</v>
      </c>
      <c r="I69" s="204">
        <f>'3 Statement Model'!I76/'3 Statement Model'!I$80</f>
        <v>1.8931906764980584E-2</v>
      </c>
      <c r="J69" s="204">
        <f>'3 Statement Model'!J76/'3 Statement Model'!J$80</f>
        <v>1.62866912937982E-2</v>
      </c>
      <c r="K69" s="204">
        <f>'3 Statement Model'!K76/'3 Statement Model'!K$80</f>
        <v>1.4008335897350763E-2</v>
      </c>
    </row>
    <row r="70" spans="2:11" ht="14.4" customHeight="1" x14ac:dyDescent="0.3">
      <c r="B70" s="173" t="s">
        <v>43</v>
      </c>
      <c r="C70" s="17"/>
      <c r="D70" s="204">
        <f>'3 Statement Model'!D77/'3 Statement Model'!D$80</f>
        <v>0.31652880630408342</v>
      </c>
      <c r="E70" s="204">
        <f>'3 Statement Model'!E77/'3 Statement Model'!E$80</f>
        <v>0.34141177778348308</v>
      </c>
      <c r="F70" s="204">
        <f>'3 Statement Model'!F77/'3 Statement Model'!F$80</f>
        <v>0.42480588618558007</v>
      </c>
      <c r="G70" s="204">
        <f>'3 Statement Model'!G77/'3 Statement Model'!G$80</f>
        <v>0.48764620659106234</v>
      </c>
      <c r="H70" s="204">
        <f>'3 Statement Model'!H77/'3 Statement Model'!H$80</f>
        <v>0.54080228839640065</v>
      </c>
      <c r="I70" s="204">
        <f>'3 Statement Model'!I77/'3 Statement Model'!I$80</f>
        <v>0.59357245573703399</v>
      </c>
      <c r="J70" s="204">
        <f>'3 Statement Model'!J77/'3 Statement Model'!J$80</f>
        <v>0.63781758168625002</v>
      </c>
      <c r="K70" s="204">
        <f>'3 Statement Model'!K77/'3 Statement Model'!K$80</f>
        <v>0.67669585846076397</v>
      </c>
    </row>
    <row r="71" spans="2:11" ht="14.4" customHeight="1" x14ac:dyDescent="0.3">
      <c r="B71" s="2" t="s">
        <v>44</v>
      </c>
      <c r="C71" s="4"/>
      <c r="D71" s="205">
        <f>'3 Statement Model'!D78/'3 Statement Model'!D$80</f>
        <v>0.35731187382697704</v>
      </c>
      <c r="E71" s="205">
        <f>'3 Statement Model'!E78/'3 Statement Model'!E$80</f>
        <v>0.376678150338007</v>
      </c>
      <c r="F71" s="205">
        <f>'3 Statement Model'!F78/'3 Statement Model'!F$80</f>
        <v>0.45658874568944963</v>
      </c>
      <c r="G71" s="205">
        <f>'3 Statement Model'!G78/'3 Statement Model'!G$80</f>
        <v>0.51411295239646371</v>
      </c>
      <c r="H71" s="205">
        <f>'3 Statement Model'!H78/'3 Statement Model'!H$80</f>
        <v>0.56304790362938228</v>
      </c>
      <c r="I71" s="205">
        <f>'3 Statement Model'!I78/'3 Statement Model'!I$80</f>
        <v>0.61250436250201457</v>
      </c>
      <c r="J71" s="205">
        <f>'3 Statement Model'!J78/'3 Statement Model'!J$80</f>
        <v>0.65410427298004825</v>
      </c>
      <c r="K71" s="205">
        <f>'3 Statement Model'!K78/'3 Statement Model'!K$80</f>
        <v>0.6907041943581147</v>
      </c>
    </row>
    <row r="72" spans="2:11" ht="14.4" customHeight="1" x14ac:dyDescent="0.3">
      <c r="B72" s="6"/>
      <c r="C72" s="4"/>
      <c r="D72" s="204"/>
      <c r="E72" s="206"/>
      <c r="F72" s="206"/>
      <c r="G72" s="206"/>
      <c r="H72" s="206"/>
      <c r="I72" s="206"/>
      <c r="J72" s="206"/>
      <c r="K72" s="206"/>
    </row>
    <row r="73" spans="2:11" ht="14.4" customHeight="1" thickBot="1" x14ac:dyDescent="0.35">
      <c r="B73" s="172" t="s">
        <v>45</v>
      </c>
      <c r="C73" s="36"/>
      <c r="D73" s="207">
        <f>'3 Statement Model'!D80/'3 Statement Model'!D$80</f>
        <v>1</v>
      </c>
      <c r="E73" s="207">
        <f>'3 Statement Model'!E80/'3 Statement Model'!E$80</f>
        <v>1</v>
      </c>
      <c r="F73" s="207">
        <f>'3 Statement Model'!F80/'3 Statement Model'!F$80</f>
        <v>1</v>
      </c>
      <c r="G73" s="207">
        <f>'3 Statement Model'!G80/'3 Statement Model'!G$80</f>
        <v>1</v>
      </c>
      <c r="H73" s="207">
        <f>'3 Statement Model'!H80/'3 Statement Model'!H$80</f>
        <v>1</v>
      </c>
      <c r="I73" s="207">
        <f>'3 Statement Model'!I80/'3 Statement Model'!I$80</f>
        <v>1</v>
      </c>
      <c r="J73" s="207">
        <f>'3 Statement Model'!J80/'3 Statement Model'!J$80</f>
        <v>1</v>
      </c>
      <c r="K73" s="207">
        <f>'3 Statement Model'!K80/'3 Statement Model'!K$80</f>
        <v>1</v>
      </c>
    </row>
  </sheetData>
  <mergeCells count="2">
    <mergeCell ref="D8:F8"/>
    <mergeCell ref="G8:K8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4" name="Drop Down 1">
              <controlPr defaultSize="0" autoLine="0" autoPict="0">
                <anchor moveWithCells="1">
                  <from>
                    <xdr:col>6</xdr:col>
                    <xdr:colOff>38100</xdr:colOff>
                    <xdr:row>2</xdr:row>
                    <xdr:rowOff>198120</xdr:rowOff>
                  </from>
                  <to>
                    <xdr:col>7</xdr:col>
                    <xdr:colOff>373380</xdr:colOff>
                    <xdr:row>4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E341-64DA-4B95-97A9-0B82DBFC6DA0}">
  <sheetPr>
    <pageSetUpPr autoPageBreaks="0"/>
  </sheetPr>
  <dimension ref="A2:N95"/>
  <sheetViews>
    <sheetView showGridLines="0" zoomScale="90" zoomScaleNormal="90" workbookViewId="0">
      <pane xSplit="1" ySplit="9" topLeftCell="B85" activePane="bottomRight" state="frozen"/>
      <selection pane="topRight" activeCell="B1" sqref="B1"/>
      <selection pane="bottomLeft" activeCell="A10" sqref="A10"/>
      <selection pane="bottomRight" activeCell="D103" sqref="D103"/>
    </sheetView>
  </sheetViews>
  <sheetFormatPr defaultRowHeight="14.4" customHeight="1" x14ac:dyDescent="0.3"/>
  <cols>
    <col min="1" max="1" width="1.88671875" customWidth="1"/>
    <col min="2" max="2" width="41.33203125" customWidth="1"/>
    <col min="3" max="3" width="18.88671875" bestFit="1" customWidth="1"/>
    <col min="4" max="4" width="18.88671875" customWidth="1"/>
    <col min="5" max="11" width="12.77734375" customWidth="1"/>
    <col min="12" max="12" width="1.88671875" customWidth="1"/>
    <col min="14" max="14" width="12.77734375" customWidth="1"/>
  </cols>
  <sheetData>
    <row r="2" spans="1:11" ht="19.95" customHeight="1" x14ac:dyDescent="0.45">
      <c r="B2" s="47" t="s">
        <v>47</v>
      </c>
      <c r="C2" s="44"/>
      <c r="D2" s="44"/>
    </row>
    <row r="3" spans="1:11" ht="14.4" customHeight="1" x14ac:dyDescent="0.35">
      <c r="B3" s="46" t="s">
        <v>309</v>
      </c>
    </row>
    <row r="4" spans="1:11" ht="14.4" customHeight="1" x14ac:dyDescent="0.3">
      <c r="F4" t="s">
        <v>59</v>
      </c>
      <c r="G4">
        <v>1</v>
      </c>
    </row>
    <row r="8" spans="1:11" ht="14.4" customHeight="1" x14ac:dyDescent="0.3">
      <c r="D8" s="236" t="s">
        <v>50</v>
      </c>
      <c r="E8" s="236"/>
      <c r="F8" s="236"/>
      <c r="G8" s="235" t="s">
        <v>51</v>
      </c>
      <c r="H8" s="235"/>
      <c r="I8" s="235"/>
      <c r="J8" s="235"/>
      <c r="K8" s="235"/>
    </row>
    <row r="9" spans="1:11" ht="14.4" customHeight="1" x14ac:dyDescent="0.3">
      <c r="B9" s="81" t="s">
        <v>49</v>
      </c>
      <c r="C9" s="45"/>
      <c r="D9" s="167">
        <v>2021</v>
      </c>
      <c r="E9" s="146">
        <f>D9+1</f>
        <v>2022</v>
      </c>
      <c r="F9" s="146">
        <f t="shared" ref="F9:K9" si="0">E9+1</f>
        <v>2023</v>
      </c>
      <c r="G9" s="146">
        <f t="shared" si="0"/>
        <v>2024</v>
      </c>
      <c r="H9" s="146">
        <f t="shared" si="0"/>
        <v>2025</v>
      </c>
      <c r="I9" s="146">
        <f t="shared" si="0"/>
        <v>2026</v>
      </c>
      <c r="J9" s="146">
        <f t="shared" si="0"/>
        <v>2027</v>
      </c>
      <c r="K9" s="146">
        <f t="shared" si="0"/>
        <v>2028</v>
      </c>
    </row>
    <row r="10" spans="1:11" ht="14.4" customHeight="1" x14ac:dyDescent="0.3">
      <c r="B10" s="150"/>
      <c r="D10" s="151"/>
      <c r="E10" s="151"/>
      <c r="F10" s="151"/>
      <c r="G10" s="151"/>
      <c r="H10" s="151"/>
      <c r="I10" s="151"/>
      <c r="J10" s="151"/>
      <c r="K10" s="151"/>
    </row>
    <row r="11" spans="1:11" s="44" customFormat="1" ht="18" customHeight="1" x14ac:dyDescent="0.35">
      <c r="A11" s="44" t="s">
        <v>52</v>
      </c>
      <c r="B11" s="76" t="s">
        <v>310</v>
      </c>
      <c r="C11" s="168"/>
      <c r="D11" s="169"/>
      <c r="E11" s="169"/>
      <c r="F11" s="169"/>
      <c r="G11" s="169"/>
      <c r="H11" s="169"/>
      <c r="I11" s="169"/>
      <c r="J11" s="169"/>
      <c r="K11" s="169"/>
    </row>
    <row r="13" spans="1:11" ht="14.4" customHeight="1" x14ac:dyDescent="0.3">
      <c r="B13" t="s">
        <v>311</v>
      </c>
      <c r="D13" s="174">
        <f>'3 Statement Model'!D54</f>
        <v>13392.072400000001</v>
      </c>
      <c r="E13" s="174">
        <f>'3 Statement Model'!E54</f>
        <v>15180.552799999999</v>
      </c>
      <c r="F13" s="174">
        <f>'3 Statement Model'!F54</f>
        <v>16662.802800000001</v>
      </c>
      <c r="G13" s="174">
        <f>'3 Statement Model'!G54</f>
        <v>19197.800886290363</v>
      </c>
      <c r="H13" s="174">
        <f>'3 Statement Model'!H54</f>
        <v>22527.783422815355</v>
      </c>
      <c r="I13" s="174">
        <f>'3 Statement Model'!I54</f>
        <v>26508.633981675066</v>
      </c>
      <c r="J13" s="174">
        <f>'3 Statement Model'!J54</f>
        <v>31210.738625496982</v>
      </c>
      <c r="K13" s="174">
        <f>'3 Statement Model'!K54</f>
        <v>37316.89146387513</v>
      </c>
    </row>
    <row r="14" spans="1:11" ht="14.4" customHeight="1" x14ac:dyDescent="0.3">
      <c r="B14" t="s">
        <v>312</v>
      </c>
      <c r="D14" s="174">
        <f>'3 Statement Model'!D69</f>
        <v>7506.8980000000001</v>
      </c>
      <c r="E14" s="174">
        <f>'3 Statement Model'!E69</f>
        <v>8673.7055999999993</v>
      </c>
      <c r="F14" s="174">
        <f>'3 Statement Model'!F69</f>
        <v>9658.5272000000004</v>
      </c>
      <c r="G14" s="174">
        <f>'3 Statement Model'!G69</f>
        <v>10474.089430540356</v>
      </c>
      <c r="H14" s="174">
        <f>'3 Statement Model'!H69</f>
        <v>11362.183566025071</v>
      </c>
      <c r="I14" s="174">
        <f>'3 Statement Model'!I69</f>
        <v>12301.363450782887</v>
      </c>
      <c r="J14" s="174">
        <f>'3 Statement Model'!J69</f>
        <v>13186.038063610464</v>
      </c>
      <c r="K14" s="174">
        <f>'3 Statement Model'!K69</f>
        <v>14140.682375678251</v>
      </c>
    </row>
    <row r="15" spans="1:11" ht="14.4" customHeight="1" x14ac:dyDescent="0.3">
      <c r="B15" s="61" t="s">
        <v>313</v>
      </c>
      <c r="C15" s="61"/>
      <c r="D15" s="209">
        <f>D13/D14</f>
        <v>1.783968877690892</v>
      </c>
      <c r="E15" s="209">
        <f t="shared" ref="E15:K15" si="1">E13/E14</f>
        <v>1.7501807762532315</v>
      </c>
      <c r="F15" s="209">
        <f t="shared" si="1"/>
        <v>1.7251908551854573</v>
      </c>
      <c r="G15" s="209">
        <f t="shared" si="1"/>
        <v>1.8328849503913345</v>
      </c>
      <c r="H15" s="209">
        <f t="shared" si="1"/>
        <v>1.9826984216464689</v>
      </c>
      <c r="I15" s="209">
        <f t="shared" si="1"/>
        <v>2.1549346206812543</v>
      </c>
      <c r="J15" s="209">
        <f t="shared" si="1"/>
        <v>2.3669534757092294</v>
      </c>
      <c r="K15" s="209">
        <f t="shared" si="1"/>
        <v>2.6389738820567521</v>
      </c>
    </row>
    <row r="17" spans="1:11" ht="14.4" customHeight="1" x14ac:dyDescent="0.3">
      <c r="B17" t="s">
        <v>311</v>
      </c>
      <c r="D17" s="174">
        <f>'3 Statement Model'!D54</f>
        <v>13392.072400000001</v>
      </c>
      <c r="E17" s="174">
        <f>'3 Statement Model'!E54</f>
        <v>15180.552799999999</v>
      </c>
      <c r="F17" s="174">
        <f>'3 Statement Model'!F54</f>
        <v>16662.802800000001</v>
      </c>
      <c r="G17" s="174">
        <f>'3 Statement Model'!G54</f>
        <v>19197.800886290363</v>
      </c>
      <c r="H17" s="174">
        <f>'3 Statement Model'!H54</f>
        <v>22527.783422815355</v>
      </c>
      <c r="I17" s="174">
        <f>'3 Statement Model'!I54</f>
        <v>26508.633981675066</v>
      </c>
      <c r="J17" s="174">
        <f>'3 Statement Model'!J54</f>
        <v>31210.738625496982</v>
      </c>
      <c r="K17" s="174">
        <f>'3 Statement Model'!K54</f>
        <v>37316.89146387513</v>
      </c>
    </row>
    <row r="18" spans="1:11" ht="14.4" customHeight="1" x14ac:dyDescent="0.3">
      <c r="B18" t="s">
        <v>22</v>
      </c>
      <c r="D18" s="174">
        <f>'3 Statement Model'!D50</f>
        <v>4686.8108000000002</v>
      </c>
      <c r="E18" s="174">
        <f>'3 Statement Model'!E50</f>
        <v>5155.4859999999999</v>
      </c>
      <c r="F18" s="174">
        <f>'3 Statement Model'!F50</f>
        <v>5592.6248000000005</v>
      </c>
      <c r="G18" s="174">
        <f>'3 Statement Model'!G50</f>
        <v>6000.7099095604108</v>
      </c>
      <c r="H18" s="174">
        <f>'3 Statement Model'!H50</f>
        <v>6439.1409669442373</v>
      </c>
      <c r="I18" s="174">
        <f>'3 Statement Model'!I50</f>
        <v>6891.0799519710099</v>
      </c>
      <c r="J18" s="174">
        <f>'3 Statement Model'!J50</f>
        <v>7298.9445125496804</v>
      </c>
      <c r="K18" s="174">
        <f>'3 Statement Model'!K50</f>
        <v>7732.3271964641135</v>
      </c>
    </row>
    <row r="19" spans="1:11" ht="14.4" customHeight="1" x14ac:dyDescent="0.3">
      <c r="B19" t="s">
        <v>24</v>
      </c>
      <c r="D19" s="174">
        <f>'3 Statement Model'!D52</f>
        <v>1660.1396</v>
      </c>
      <c r="E19" s="174">
        <f>'3 Statement Model'!E52</f>
        <v>1915.0964000000001</v>
      </c>
      <c r="F19" s="174">
        <f>'3 Statement Model'!F52</f>
        <v>2186.9875999999999</v>
      </c>
      <c r="G19" s="174">
        <f>'3 Statement Model'!G52</f>
        <v>2413.8252639480434</v>
      </c>
      <c r="H19" s="174">
        <f>'3 Statement Model'!H52</f>
        <v>2664.7457763281818</v>
      </c>
      <c r="I19" s="174">
        <f>'3 Statement Model'!I52</f>
        <v>2937.798362051687</v>
      </c>
      <c r="J19" s="174">
        <f>'3 Statement Model'!J52</f>
        <v>3206.7348876303854</v>
      </c>
      <c r="K19" s="174">
        <f>'3 Statement Model'!K52</f>
        <v>3501.3723017208654</v>
      </c>
    </row>
    <row r="20" spans="1:11" ht="14.4" customHeight="1" x14ac:dyDescent="0.3">
      <c r="B20" t="s">
        <v>312</v>
      </c>
      <c r="D20" s="174">
        <f>'3 Statement Model'!D69</f>
        <v>7506.8980000000001</v>
      </c>
      <c r="E20" s="174">
        <f>'3 Statement Model'!E69</f>
        <v>8673.7055999999993</v>
      </c>
      <c r="F20" s="174">
        <f>'3 Statement Model'!F69</f>
        <v>9658.5272000000004</v>
      </c>
      <c r="G20" s="174">
        <f>'3 Statement Model'!G69</f>
        <v>10474.089430540356</v>
      </c>
      <c r="H20" s="174">
        <f>'3 Statement Model'!H69</f>
        <v>11362.183566025071</v>
      </c>
      <c r="I20" s="174">
        <f>'3 Statement Model'!I69</f>
        <v>12301.363450782887</v>
      </c>
      <c r="J20" s="174">
        <f>'3 Statement Model'!J69</f>
        <v>13186.038063610464</v>
      </c>
      <c r="K20" s="174">
        <f>'3 Statement Model'!K69</f>
        <v>14140.682375678251</v>
      </c>
    </row>
    <row r="21" spans="1:11" ht="14.4" customHeight="1" x14ac:dyDescent="0.3">
      <c r="B21" s="61" t="s">
        <v>314</v>
      </c>
      <c r="C21" s="61"/>
      <c r="D21" s="209">
        <f>(D17-D18-D19)/D20</f>
        <v>0.93848644273573467</v>
      </c>
      <c r="E21" s="209">
        <f t="shared" ref="E21:K21" si="2">(E17-E18-E19)/E20</f>
        <v>0.93500641755698977</v>
      </c>
      <c r="F21" s="209">
        <f t="shared" si="2"/>
        <v>0.9197251522985822</v>
      </c>
      <c r="G21" s="209">
        <f t="shared" si="2"/>
        <v>1.0295182014906286</v>
      </c>
      <c r="H21" s="209">
        <f t="shared" si="2"/>
        <v>1.1814539521859821</v>
      </c>
      <c r="I21" s="209">
        <f t="shared" si="2"/>
        <v>1.3559273924705342</v>
      </c>
      <c r="J21" s="209">
        <f t="shared" si="2"/>
        <v>1.5702259560782488</v>
      </c>
      <c r="K21" s="209">
        <f t="shared" si="2"/>
        <v>1.8445497376104585</v>
      </c>
    </row>
    <row r="23" spans="1:11" ht="14.4" customHeight="1" x14ac:dyDescent="0.3">
      <c r="B23" t="s">
        <v>216</v>
      </c>
      <c r="D23" s="211">
        <f>'3 Statement Model'!D86</f>
        <v>70.599950657628654</v>
      </c>
      <c r="E23" s="211">
        <f>'3 Statement Model'!E86</f>
        <v>70.857270326640332</v>
      </c>
      <c r="F23" s="211">
        <f>'3 Statement Model'!F86</f>
        <v>72.565933958740942</v>
      </c>
      <c r="G23" s="211">
        <f>'3 Statement Model'!G86</f>
        <v>72.60953107937469</v>
      </c>
      <c r="H23" s="211">
        <f>'3 Statement Model'!H86</f>
        <v>72.60953107937469</v>
      </c>
      <c r="I23" s="211">
        <f>'3 Statement Model'!I86</f>
        <v>72.60953107937469</v>
      </c>
      <c r="J23" s="211">
        <f>'3 Statement Model'!J86</f>
        <v>72.60953107937469</v>
      </c>
      <c r="K23" s="211">
        <f>'3 Statement Model'!K86</f>
        <v>72.60953107937469</v>
      </c>
    </row>
    <row r="24" spans="1:11" ht="14.4" customHeight="1" x14ac:dyDescent="0.3">
      <c r="B24" t="s">
        <v>315</v>
      </c>
      <c r="D24" s="211">
        <f>'3 Statement Model'!D85</f>
        <v>42.235979905324754</v>
      </c>
      <c r="E24" s="211">
        <f>'3 Statement Model'!E85</f>
        <v>41.830284679793493</v>
      </c>
      <c r="F24" s="211">
        <f>'3 Statement Model'!F85</f>
        <v>41.18518909892942</v>
      </c>
      <c r="G24" s="211">
        <f>'3 Statement Model'!G85</f>
        <v>41.21757183244268</v>
      </c>
      <c r="H24" s="211">
        <f>'3 Statement Model'!H85</f>
        <v>41.21757183244268</v>
      </c>
      <c r="I24" s="211">
        <f>'3 Statement Model'!I85</f>
        <v>41.21757183244268</v>
      </c>
      <c r="J24" s="211">
        <f>'3 Statement Model'!J85</f>
        <v>41.21757183244268</v>
      </c>
      <c r="K24" s="211">
        <f>'3 Statement Model'!K85</f>
        <v>41.21757183244268</v>
      </c>
    </row>
    <row r="25" spans="1:11" ht="14.4" customHeight="1" x14ac:dyDescent="0.3">
      <c r="B25" t="s">
        <v>316</v>
      </c>
      <c r="D25" s="211">
        <f>'3 Statement Model'!D87</f>
        <v>70.664609386375034</v>
      </c>
      <c r="E25" s="211">
        <f>'3 Statement Model'!E87</f>
        <v>74.174457875073983</v>
      </c>
      <c r="F25" s="211">
        <f>'3 Statement Model'!F87</f>
        <v>78.575922643434055</v>
      </c>
      <c r="G25" s="211">
        <f>'3 Statement Model'!G87</f>
        <v>78.623130524481127</v>
      </c>
      <c r="H25" s="211">
        <f>'3 Statement Model'!H87</f>
        <v>78.623130524481127</v>
      </c>
      <c r="I25" s="211">
        <f>'3 Statement Model'!I87</f>
        <v>78.623130524481127</v>
      </c>
      <c r="J25" s="211">
        <f>'3 Statement Model'!J87</f>
        <v>78.623130524481127</v>
      </c>
      <c r="K25" s="211">
        <f>'3 Statement Model'!K87</f>
        <v>78.623130524481127</v>
      </c>
    </row>
    <row r="26" spans="1:11" ht="14.4" customHeight="1" x14ac:dyDescent="0.3">
      <c r="B26" s="61" t="s">
        <v>317</v>
      </c>
      <c r="C26" s="61"/>
      <c r="D26" s="210">
        <f>D23+D24-D25</f>
        <v>42.171321176578374</v>
      </c>
      <c r="E26" s="210">
        <f t="shared" ref="E26:K26" si="3">E23+E24-E25</f>
        <v>38.513097131359842</v>
      </c>
      <c r="F26" s="210">
        <f t="shared" si="3"/>
        <v>35.175200414236301</v>
      </c>
      <c r="G26" s="210">
        <f t="shared" si="3"/>
        <v>35.20397238733625</v>
      </c>
      <c r="H26" s="210">
        <f t="shared" si="3"/>
        <v>35.20397238733625</v>
      </c>
      <c r="I26" s="210">
        <f t="shared" si="3"/>
        <v>35.20397238733625</v>
      </c>
      <c r="J26" s="210">
        <f t="shared" si="3"/>
        <v>35.20397238733625</v>
      </c>
      <c r="K26" s="210">
        <f t="shared" si="3"/>
        <v>35.20397238733625</v>
      </c>
    </row>
    <row r="28" spans="1:11" ht="18" customHeight="1" x14ac:dyDescent="0.35">
      <c r="A28" s="44" t="s">
        <v>52</v>
      </c>
      <c r="B28" s="76" t="s">
        <v>318</v>
      </c>
      <c r="C28" s="168"/>
      <c r="D28" s="169"/>
      <c r="E28" s="169"/>
      <c r="F28" s="169"/>
      <c r="G28" s="169"/>
      <c r="H28" s="169"/>
      <c r="I28" s="169"/>
      <c r="J28" s="169"/>
      <c r="K28" s="169"/>
    </row>
    <row r="30" spans="1:11" ht="14.4" customHeight="1" x14ac:dyDescent="0.3">
      <c r="B30" t="s">
        <v>319</v>
      </c>
      <c r="D30" s="174">
        <f>SUM('3 Statement Model'!D71:D72)</f>
        <v>7487.2</v>
      </c>
      <c r="E30" s="174">
        <f>SUM('3 Statement Model'!E71:E72)</f>
        <v>6840.4</v>
      </c>
      <c r="F30" s="174">
        <f>SUM('3 Statement Model'!F71:F72)</f>
        <v>6193.5999999999995</v>
      </c>
      <c r="G30" s="174">
        <f>SUM('3 Statement Model'!G71:G72)</f>
        <v>6613.5999999999995</v>
      </c>
      <c r="H30" s="174">
        <f>SUM('3 Statement Model'!H71:H72)</f>
        <v>6983.5999999999995</v>
      </c>
      <c r="I30" s="174">
        <f>SUM('3 Statement Model'!I71:I72)</f>
        <v>6853.5999999999995</v>
      </c>
      <c r="J30" s="174">
        <f>SUM('3 Statement Model'!J71:J72)</f>
        <v>6723.5999999999995</v>
      </c>
      <c r="K30" s="174">
        <f>SUM('3 Statement Model'!K71:K72)</f>
        <v>6593.5999999999995</v>
      </c>
    </row>
    <row r="31" spans="1:11" ht="14.4" customHeight="1" x14ac:dyDescent="0.3">
      <c r="B31" t="s">
        <v>320</v>
      </c>
      <c r="D31" s="174">
        <f>'3 Statement Model'!D78</f>
        <v>8586.0544000000009</v>
      </c>
      <c r="E31" s="174">
        <f>'3 Statement Model'!E78</f>
        <v>10467.32512</v>
      </c>
      <c r="F31" s="174">
        <f>'3 Statement Model'!F78</f>
        <v>14078.562399999999</v>
      </c>
      <c r="G31" s="174">
        <f>'3 Statement Model'!G78</f>
        <v>19036.367260749998</v>
      </c>
      <c r="H31" s="174">
        <f>'3 Statement Model'!H78</f>
        <v>24804.301422003773</v>
      </c>
      <c r="I31" s="174">
        <f>'3 Statement Model'!I78</f>
        <v>31705.959822404078</v>
      </c>
      <c r="J31" s="174">
        <f>'3 Statement Model'!J78</f>
        <v>39358.650321108602</v>
      </c>
      <c r="K31" s="174">
        <f>'3 Statement Model'!K78</f>
        <v>48320.522539651902</v>
      </c>
    </row>
    <row r="32" spans="1:11" ht="14.4" customHeight="1" x14ac:dyDescent="0.3">
      <c r="B32" s="61" t="s">
        <v>321</v>
      </c>
      <c r="C32" s="61"/>
      <c r="D32" s="209">
        <f>D30/D31</f>
        <v>0.8720187004638591</v>
      </c>
      <c r="E32" s="209">
        <f t="shared" ref="E32" si="4">E30/E31</f>
        <v>0.65350028986201969</v>
      </c>
      <c r="F32" s="209">
        <f t="shared" ref="F32" si="5">F30/F31</f>
        <v>0.43993128162006084</v>
      </c>
      <c r="G32" s="209">
        <f t="shared" ref="G32" si="6">G30/G31</f>
        <v>0.34741922707260459</v>
      </c>
      <c r="H32" s="209">
        <f t="shared" ref="H32" si="7">H30/H31</f>
        <v>0.28154794126977034</v>
      </c>
      <c r="I32" s="209">
        <f t="shared" ref="I32" si="8">I30/I31</f>
        <v>0.2161612529123659</v>
      </c>
      <c r="J32" s="209">
        <f t="shared" ref="J32" si="9">J30/J31</f>
        <v>0.17082902856539361</v>
      </c>
      <c r="K32" s="209">
        <f t="shared" ref="K32" si="10">K30/K31</f>
        <v>0.13645547799259167</v>
      </c>
    </row>
    <row r="34" spans="1:14" ht="14.4" customHeight="1" x14ac:dyDescent="0.3">
      <c r="B34" t="s">
        <v>322</v>
      </c>
      <c r="D34" s="174">
        <f>SUM('3 Statement Model'!D71:D72)</f>
        <v>7487.2</v>
      </c>
      <c r="E34" s="174">
        <f>SUM('3 Statement Model'!E71:E72)</f>
        <v>6840.4</v>
      </c>
      <c r="F34" s="174">
        <f>SUM('3 Statement Model'!F71:F72)</f>
        <v>6193.5999999999995</v>
      </c>
      <c r="G34" s="174">
        <f>SUM('3 Statement Model'!G71:G72)</f>
        <v>6613.5999999999995</v>
      </c>
      <c r="H34" s="174">
        <f>SUM('3 Statement Model'!H71:H72)</f>
        <v>6983.5999999999995</v>
      </c>
      <c r="I34" s="174">
        <f>SUM('3 Statement Model'!I71:I72)</f>
        <v>6853.5999999999995</v>
      </c>
      <c r="J34" s="174">
        <f>SUM('3 Statement Model'!J71:J72)</f>
        <v>6723.5999999999995</v>
      </c>
      <c r="K34" s="174">
        <f>SUM('3 Statement Model'!K71:K72)</f>
        <v>6593.5999999999995</v>
      </c>
    </row>
    <row r="35" spans="1:14" ht="14.4" customHeight="1" x14ac:dyDescent="0.3">
      <c r="B35" t="s">
        <v>323</v>
      </c>
      <c r="D35" s="174">
        <f>'3 Statement Model'!D62</f>
        <v>24029.580399999999</v>
      </c>
      <c r="E35" s="174">
        <f>'3 Statement Model'!E62</f>
        <v>27788.51152</v>
      </c>
      <c r="F35" s="174">
        <f>'3 Statement Model'!F62</f>
        <v>30834.23</v>
      </c>
      <c r="G35" s="174">
        <f>'3 Statement Model'!G62</f>
        <v>37027.597091290358</v>
      </c>
      <c r="H35" s="174">
        <f>'3 Statement Model'!H62</f>
        <v>44053.625388028857</v>
      </c>
      <c r="I35" s="174">
        <f>'3 Statement Model'!I62</f>
        <v>51764.463673186983</v>
      </c>
      <c r="J35" s="174">
        <f>'3 Statement Model'!J62</f>
        <v>60171.828784719073</v>
      </c>
      <c r="K35" s="174">
        <f>'3 Statement Model'!K62</f>
        <v>69958.345315330167</v>
      </c>
    </row>
    <row r="36" spans="1:14" ht="14.4" customHeight="1" x14ac:dyDescent="0.3">
      <c r="B36" s="61" t="s">
        <v>324</v>
      </c>
      <c r="C36" s="61"/>
      <c r="D36" s="209">
        <f>D34/D35</f>
        <v>0.31158263587490692</v>
      </c>
      <c r="E36" s="209">
        <f t="shared" ref="E36" si="11">E34/E35</f>
        <v>0.246159280430577</v>
      </c>
      <c r="F36" s="209">
        <f t="shared" ref="F36" si="12">F34/F35</f>
        <v>0.20086767206445563</v>
      </c>
      <c r="G36" s="209">
        <f t="shared" ref="G36" si="13">G34/G35</f>
        <v>0.17861272454959418</v>
      </c>
      <c r="H36" s="209">
        <f t="shared" ref="H36" si="14">H34/H35</f>
        <v>0.15852497810311258</v>
      </c>
      <c r="I36" s="209">
        <f t="shared" ref="I36" si="15">I34/I35</f>
        <v>0.13239971041272539</v>
      </c>
      <c r="J36" s="209">
        <f t="shared" ref="J36" si="16">J34/J35</f>
        <v>0.11173999753365466</v>
      </c>
      <c r="K36" s="209">
        <f t="shared" ref="K36" si="17">K34/K35</f>
        <v>9.4250370992624455E-2</v>
      </c>
    </row>
    <row r="37" spans="1:14" ht="14.4" customHeight="1" x14ac:dyDescent="0.3">
      <c r="N37" s="174"/>
    </row>
    <row r="38" spans="1:14" ht="14.4" customHeight="1" x14ac:dyDescent="0.3">
      <c r="B38" t="s">
        <v>325</v>
      </c>
      <c r="D38" s="174">
        <f>'3 Statement Model'!D78</f>
        <v>8586.0544000000009</v>
      </c>
      <c r="E38" s="174">
        <f>'3 Statement Model'!E78</f>
        <v>10467.32512</v>
      </c>
      <c r="F38" s="174">
        <f>'3 Statement Model'!F78</f>
        <v>14078.562399999999</v>
      </c>
      <c r="G38" s="174">
        <f>'3 Statement Model'!G78</f>
        <v>19036.367260749998</v>
      </c>
      <c r="H38" s="174">
        <f>'3 Statement Model'!H78</f>
        <v>24804.301422003773</v>
      </c>
      <c r="I38" s="174">
        <f>'3 Statement Model'!I78</f>
        <v>31705.959822404078</v>
      </c>
      <c r="J38" s="174">
        <f>'3 Statement Model'!J78</f>
        <v>39358.650321108602</v>
      </c>
      <c r="K38" s="174">
        <f>'3 Statement Model'!K78</f>
        <v>48320.522539651902</v>
      </c>
      <c r="N38" s="174"/>
    </row>
    <row r="39" spans="1:14" ht="14.4" customHeight="1" x14ac:dyDescent="0.3">
      <c r="B39" t="s">
        <v>326</v>
      </c>
      <c r="D39" s="174">
        <f>'3 Statement Model'!D62</f>
        <v>24029.580399999999</v>
      </c>
      <c r="E39" s="174">
        <f>'3 Statement Model'!E62</f>
        <v>27788.51152</v>
      </c>
      <c r="F39" s="174">
        <f>'3 Statement Model'!F62</f>
        <v>30834.23</v>
      </c>
      <c r="G39" s="174">
        <f>'3 Statement Model'!G62</f>
        <v>37027.597091290358</v>
      </c>
      <c r="H39" s="174">
        <f>'3 Statement Model'!H62</f>
        <v>44053.625388028857</v>
      </c>
      <c r="I39" s="174">
        <f>'3 Statement Model'!I62</f>
        <v>51764.463673186983</v>
      </c>
      <c r="J39" s="174">
        <f>'3 Statement Model'!J62</f>
        <v>60171.828784719073</v>
      </c>
      <c r="K39" s="174">
        <f>'3 Statement Model'!K62</f>
        <v>69958.345315330167</v>
      </c>
    </row>
    <row r="40" spans="1:14" s="44" customFormat="1" ht="18" customHeight="1" x14ac:dyDescent="0.35">
      <c r="B40" s="61" t="s">
        <v>327</v>
      </c>
      <c r="C40" s="61"/>
      <c r="D40" s="209">
        <f>D38/D39</f>
        <v>0.3573118738269771</v>
      </c>
      <c r="E40" s="209">
        <f t="shared" ref="E40" si="18">E38/E39</f>
        <v>0.376678150338007</v>
      </c>
      <c r="F40" s="209">
        <f t="shared" ref="F40" si="19">F38/F39</f>
        <v>0.45658874568944963</v>
      </c>
      <c r="G40" s="209">
        <f t="shared" ref="G40" si="20">G38/G39</f>
        <v>0.51411295239646371</v>
      </c>
      <c r="H40" s="209">
        <f t="shared" ref="H40" si="21">H38/H39</f>
        <v>0.56304790362938206</v>
      </c>
      <c r="I40" s="209">
        <f t="shared" ref="I40" si="22">I38/I39</f>
        <v>0.61250436250201445</v>
      </c>
      <c r="J40" s="209">
        <f t="shared" ref="J40" si="23">J38/J39</f>
        <v>0.65410427298004814</v>
      </c>
      <c r="K40" s="209">
        <f t="shared" ref="K40" si="24">K38/K39</f>
        <v>0.69070419435811459</v>
      </c>
      <c r="M40"/>
    </row>
    <row r="42" spans="1:14" ht="18" customHeight="1" x14ac:dyDescent="0.35">
      <c r="A42" s="44" t="s">
        <v>52</v>
      </c>
      <c r="B42" s="76" t="s">
        <v>328</v>
      </c>
      <c r="C42" s="168"/>
      <c r="D42" s="169"/>
      <c r="E42" s="169"/>
      <c r="F42" s="169"/>
      <c r="G42" s="169"/>
      <c r="H42" s="169"/>
      <c r="I42" s="169"/>
      <c r="J42" s="169"/>
      <c r="K42" s="169"/>
    </row>
    <row r="43" spans="1:14" ht="14.4" customHeight="1" x14ac:dyDescent="0.3">
      <c r="L43" s="201"/>
    </row>
    <row r="44" spans="1:14" ht="14.4" customHeight="1" x14ac:dyDescent="0.3">
      <c r="B44" t="s">
        <v>5</v>
      </c>
      <c r="D44" s="174">
        <f>'3 Statement Model'!D15</f>
        <v>23094.876</v>
      </c>
      <c r="E44" s="174">
        <f>'3 Statement Model'!E15</f>
        <v>26006.044399999999</v>
      </c>
      <c r="F44" s="174">
        <f>'3 Statement Model'!F15</f>
        <v>29925.221199999996</v>
      </c>
      <c r="G44" s="174">
        <f>'3 Statement Model'!G15</f>
        <v>33861.986750000004</v>
      </c>
      <c r="H44" s="174">
        <f>'3 Statement Model'!H15</f>
        <v>38313.727060375008</v>
      </c>
      <c r="I44" s="174">
        <f>'3 Statement Model'!I15</f>
        <v>43284.619330728317</v>
      </c>
      <c r="J44" s="174">
        <f>'3 Statement Model'!J15</f>
        <v>48367.890023292261</v>
      </c>
      <c r="K44" s="174">
        <f>'3 Statement Model'!K15</f>
        <v>54004.601837496768</v>
      </c>
    </row>
    <row r="45" spans="1:14" ht="14.4" customHeight="1" x14ac:dyDescent="0.3">
      <c r="B45" t="s">
        <v>75</v>
      </c>
      <c r="D45" s="174">
        <f>'3 Statement Model'!D13</f>
        <v>47325.572</v>
      </c>
      <c r="E45" s="174">
        <f>'3 Statement Model'!E13</f>
        <v>52562.985999999997</v>
      </c>
      <c r="F45" s="174">
        <f>'3 Statement Model'!F13</f>
        <v>58055.611599999997</v>
      </c>
      <c r="G45" s="174">
        <f>'3 Statement Model'!G13</f>
        <v>64026.885000000002</v>
      </c>
      <c r="H45" s="174">
        <f>'3 Statement Model'!H13</f>
        <v>70682.569249500011</v>
      </c>
      <c r="I45" s="174">
        <f>'3 Statement Model'!I13</f>
        <v>77925.30830198506</v>
      </c>
      <c r="J45" s="174">
        <f>'3 Statement Model'!J13</f>
        <v>85058.868569459955</v>
      </c>
      <c r="K45" s="174">
        <f>'3 Statement Model'!K13</f>
        <v>92874.146713418682</v>
      </c>
    </row>
    <row r="46" spans="1:14" ht="14.4" customHeight="1" x14ac:dyDescent="0.3">
      <c r="B46" s="61" t="s">
        <v>329</v>
      </c>
      <c r="C46" s="61"/>
      <c r="D46" s="212">
        <f>D44/D45</f>
        <v>0.4879999337356134</v>
      </c>
      <c r="E46" s="212">
        <f t="shared" ref="E46:K46" si="25">E44/E45</f>
        <v>0.49475964702614117</v>
      </c>
      <c r="F46" s="212">
        <f t="shared" si="25"/>
        <v>0.51545785799628019</v>
      </c>
      <c r="G46" s="212">
        <f t="shared" si="25"/>
        <v>0.52887137567289122</v>
      </c>
      <c r="H46" s="212">
        <f t="shared" si="25"/>
        <v>0.54205340110279066</v>
      </c>
      <c r="I46" s="212">
        <f t="shared" si="25"/>
        <v>0.555462920505708</v>
      </c>
      <c r="J46" s="212">
        <f t="shared" si="25"/>
        <v>0.56864017634791997</v>
      </c>
      <c r="K46" s="212">
        <f t="shared" si="25"/>
        <v>0.58148153978887707</v>
      </c>
    </row>
    <row r="48" spans="1:14" ht="14.4" customHeight="1" x14ac:dyDescent="0.3">
      <c r="B48" t="s">
        <v>239</v>
      </c>
      <c r="D48" s="174">
        <f>'3 Statement Model'!D24</f>
        <v>5845.5314400000034</v>
      </c>
      <c r="E48" s="174">
        <f>'3 Statement Model'!E24</f>
        <v>7346.8639999999978</v>
      </c>
      <c r="F48" s="174">
        <f>'3 Statement Model'!F24</f>
        <v>9529.7747999999992</v>
      </c>
      <c r="G48" s="174">
        <f>'3 Statement Model'!G24</f>
        <v>11560.386825000005</v>
      </c>
      <c r="H48" s="174">
        <f>'3 Statement Model'!H24</f>
        <v>13652.155439277507</v>
      </c>
      <c r="I48" s="174">
        <f>'3 Statement Model'!I24</f>
        <v>16383.424538622879</v>
      </c>
      <c r="J48" s="174">
        <f>'3 Statement Model'!J24</f>
        <v>18409.171148712376</v>
      </c>
      <c r="K48" s="174">
        <f>'3 Statement Model'!K24</f>
        <v>21552.246842065884</v>
      </c>
    </row>
    <row r="49" spans="2:11" ht="14.4" customHeight="1" x14ac:dyDescent="0.3">
      <c r="B49" t="s">
        <v>75</v>
      </c>
      <c r="D49" s="174">
        <f>'3 Statement Model'!D13</f>
        <v>47325.572</v>
      </c>
      <c r="E49" s="174">
        <f>'3 Statement Model'!E13</f>
        <v>52562.985999999997</v>
      </c>
      <c r="F49" s="174">
        <f>'3 Statement Model'!F13</f>
        <v>58055.611599999997</v>
      </c>
      <c r="G49" s="174">
        <f>'3 Statement Model'!G13</f>
        <v>64026.885000000002</v>
      </c>
      <c r="H49" s="174">
        <f>'3 Statement Model'!H13</f>
        <v>70682.569249500011</v>
      </c>
      <c r="I49" s="174">
        <f>'3 Statement Model'!I13</f>
        <v>77925.30830198506</v>
      </c>
      <c r="J49" s="174">
        <f>'3 Statement Model'!J13</f>
        <v>85058.868569459955</v>
      </c>
      <c r="K49" s="174">
        <f>'3 Statement Model'!K13</f>
        <v>92874.146713418682</v>
      </c>
    </row>
    <row r="50" spans="2:11" ht="14.4" customHeight="1" x14ac:dyDescent="0.3">
      <c r="B50" s="61" t="s">
        <v>330</v>
      </c>
      <c r="C50" s="61"/>
      <c r="D50" s="212">
        <f>D48/D49</f>
        <v>0.12351739647224978</v>
      </c>
      <c r="E50" s="212">
        <f t="shared" ref="E50" si="26">E48/E49</f>
        <v>0.13977257684713723</v>
      </c>
      <c r="F50" s="212">
        <f t="shared" ref="F50" si="27">F48/F49</f>
        <v>0.16414907254202452</v>
      </c>
      <c r="G50" s="212">
        <f t="shared" ref="G50" si="28">G48/G49</f>
        <v>0.18055519685207244</v>
      </c>
      <c r="H50" s="212">
        <f t="shared" ref="H50" si="29">H48/H49</f>
        <v>0.19314741363018689</v>
      </c>
      <c r="I50" s="212">
        <f t="shared" ref="I50" si="30">I48/I49</f>
        <v>0.21024523220533128</v>
      </c>
      <c r="J50" s="212">
        <f t="shared" ref="J50" si="31">J48/J49</f>
        <v>0.21642859184847088</v>
      </c>
      <c r="K50" s="212">
        <f t="shared" ref="K50" si="32">K48/K49</f>
        <v>0.2320586256212889</v>
      </c>
    </row>
    <row r="52" spans="2:11" ht="14.4" customHeight="1" x14ac:dyDescent="0.3">
      <c r="B52" t="s">
        <v>240</v>
      </c>
      <c r="D52" s="174">
        <f>'3 Statement Model'!D29</f>
        <v>4835.0338400000028</v>
      </c>
      <c r="E52" s="174">
        <f>'3 Statement Model'!E29</f>
        <v>6342.0503999999983</v>
      </c>
      <c r="F52" s="174">
        <f>'3 Statement Model'!F29</f>
        <v>8514.1812000000009</v>
      </c>
      <c r="G52" s="174">
        <f>'3 Statement Model'!G29</f>
        <v>10096.605030000006</v>
      </c>
      <c r="H52" s="174">
        <f>'3 Statement Model'!H29</f>
        <v>11693.595659531007</v>
      </c>
      <c r="I52" s="174">
        <f>'3 Statement Model'!I29</f>
        <v>13879.387600762484</v>
      </c>
      <c r="J52" s="174">
        <f>'3 Statement Model'!J29</f>
        <v>15309.722130865759</v>
      </c>
      <c r="K52" s="174">
        <f>'3 Statement Model'!K29</f>
        <v>17802.678797225341</v>
      </c>
    </row>
    <row r="53" spans="2:11" ht="14.4" customHeight="1" x14ac:dyDescent="0.3">
      <c r="B53" t="s">
        <v>75</v>
      </c>
      <c r="D53" s="174">
        <f>'3 Statement Model'!D13</f>
        <v>47325.572</v>
      </c>
      <c r="E53" s="174">
        <f>'3 Statement Model'!E13</f>
        <v>52562.985999999997</v>
      </c>
      <c r="F53" s="174">
        <f>'3 Statement Model'!F13</f>
        <v>58055.611599999997</v>
      </c>
      <c r="G53" s="174">
        <f>'3 Statement Model'!G13</f>
        <v>64026.885000000002</v>
      </c>
      <c r="H53" s="174">
        <f>'3 Statement Model'!H13</f>
        <v>70682.569249500011</v>
      </c>
      <c r="I53" s="174">
        <f>'3 Statement Model'!I13</f>
        <v>77925.30830198506</v>
      </c>
      <c r="J53" s="174">
        <f>'3 Statement Model'!J13</f>
        <v>85058.868569459955</v>
      </c>
      <c r="K53" s="174">
        <f>'3 Statement Model'!K13</f>
        <v>92874.146713418682</v>
      </c>
    </row>
    <row r="54" spans="2:11" ht="14.4" customHeight="1" x14ac:dyDescent="0.3">
      <c r="B54" s="61" t="s">
        <v>331</v>
      </c>
      <c r="C54" s="61"/>
      <c r="D54" s="212">
        <f>D52/D53</f>
        <v>0.10216535449376085</v>
      </c>
      <c r="E54" s="212">
        <f t="shared" ref="E54" si="33">E52/E53</f>
        <v>0.12065620472931272</v>
      </c>
      <c r="F54" s="212">
        <f t="shared" ref="F54" si="34">F52/F53</f>
        <v>0.14665561115198039</v>
      </c>
      <c r="G54" s="212">
        <f t="shared" ref="G54" si="35">G52/G53</f>
        <v>0.15769321012571524</v>
      </c>
      <c r="H54" s="212">
        <f t="shared" ref="H54" si="36">H52/H53</f>
        <v>0.16543818063905089</v>
      </c>
      <c r="I54" s="212">
        <f t="shared" ref="I54" si="37">I52/I53</f>
        <v>0.17811142365937771</v>
      </c>
      <c r="J54" s="212">
        <f t="shared" ref="J54" si="38">J52/J53</f>
        <v>0.17998972227526963</v>
      </c>
      <c r="K54" s="212">
        <f t="shared" ref="K54" si="39">K52/K53</f>
        <v>0.19168605502410679</v>
      </c>
    </row>
    <row r="56" spans="2:11" ht="14.4" customHeight="1" x14ac:dyDescent="0.3">
      <c r="B56" t="s">
        <v>332</v>
      </c>
      <c r="D56" s="174">
        <f>'3 Statement Model'!D37</f>
        <v>3591.7407072400024</v>
      </c>
      <c r="E56" s="174">
        <f>'3 Statement Model'!E37</f>
        <v>4818.3345713999979</v>
      </c>
      <c r="F56" s="174">
        <f>'3 Statement Model'!F37</f>
        <v>6576.0221562000024</v>
      </c>
      <c r="G56" s="174">
        <f>'3 Statement Model'!G37</f>
        <v>7082.5783725000056</v>
      </c>
      <c r="H56" s="174">
        <f>'3 Statement Model'!H37</f>
        <v>8239.905944648257</v>
      </c>
      <c r="I56" s="174">
        <f>'3 Statement Model'!I37</f>
        <v>9859.5120005718636</v>
      </c>
      <c r="J56" s="174">
        <f>'3 Statement Model'!J37</f>
        <v>10932.414998149319</v>
      </c>
      <c r="K56" s="174">
        <f>'3 Statement Model'!K37</f>
        <v>12802.674597919005</v>
      </c>
    </row>
    <row r="57" spans="2:11" ht="14.4" customHeight="1" x14ac:dyDescent="0.3">
      <c r="B57" t="s">
        <v>75</v>
      </c>
      <c r="D57" s="174">
        <f>'3 Statement Model'!D13</f>
        <v>47325.572</v>
      </c>
      <c r="E57" s="174">
        <f>'3 Statement Model'!E13</f>
        <v>52562.985999999997</v>
      </c>
      <c r="F57" s="174">
        <f>'3 Statement Model'!F13</f>
        <v>58055.611599999997</v>
      </c>
      <c r="G57" s="174">
        <f>'3 Statement Model'!G13</f>
        <v>64026.885000000002</v>
      </c>
      <c r="H57" s="174">
        <f>'3 Statement Model'!H13</f>
        <v>70682.569249500011</v>
      </c>
      <c r="I57" s="174">
        <f>'3 Statement Model'!I13</f>
        <v>77925.30830198506</v>
      </c>
      <c r="J57" s="174">
        <f>'3 Statement Model'!J13</f>
        <v>85058.868569459955</v>
      </c>
      <c r="K57" s="174">
        <f>'3 Statement Model'!K13</f>
        <v>92874.146713418682</v>
      </c>
    </row>
    <row r="58" spans="2:11" ht="14.4" customHeight="1" x14ac:dyDescent="0.3">
      <c r="B58" s="61" t="s">
        <v>333</v>
      </c>
      <c r="C58" s="61"/>
      <c r="D58" s="212">
        <f>D56/D57</f>
        <v>7.5894290453372704E-2</v>
      </c>
      <c r="E58" s="212">
        <f t="shared" ref="E58" si="40">E56/E57</f>
        <v>9.1667824415454596E-2</v>
      </c>
      <c r="F58" s="212">
        <f t="shared" ref="F58" si="41">F56/F57</f>
        <v>0.11327108568777876</v>
      </c>
      <c r="G58" s="212">
        <f t="shared" ref="G58" si="42">G56/G57</f>
        <v>0.11061881852443713</v>
      </c>
      <c r="H58" s="212">
        <f t="shared" ref="H58" si="43">H56/H57</f>
        <v>0.11657620870518291</v>
      </c>
      <c r="I58" s="212">
        <f t="shared" ref="I58" si="44">I56/I57</f>
        <v>0.12652515871176481</v>
      </c>
      <c r="J58" s="212">
        <f t="shared" ref="J58" si="45">J56/J57</f>
        <v>0.12852763247399412</v>
      </c>
      <c r="K58" s="212">
        <f t="shared" ref="K58" si="46">K56/K57</f>
        <v>0.13784971438202451</v>
      </c>
    </row>
    <row r="60" spans="2:11" ht="14.4" customHeight="1" x14ac:dyDescent="0.3">
      <c r="B60" t="s">
        <v>332</v>
      </c>
      <c r="D60" s="174">
        <f>'3 Statement Model'!D37</f>
        <v>3591.7407072400024</v>
      </c>
      <c r="E60" s="174">
        <f>'3 Statement Model'!E37</f>
        <v>4818.3345713999979</v>
      </c>
      <c r="F60" s="174">
        <f>'3 Statement Model'!F37</f>
        <v>6576.0221562000024</v>
      </c>
      <c r="G60" s="174">
        <f>'3 Statement Model'!G37</f>
        <v>7082.5783725000056</v>
      </c>
      <c r="H60" s="174">
        <f>'3 Statement Model'!H37</f>
        <v>8239.905944648257</v>
      </c>
      <c r="I60" s="174">
        <f>'3 Statement Model'!I37</f>
        <v>9859.5120005718636</v>
      </c>
      <c r="J60" s="174">
        <f>'3 Statement Model'!J37</f>
        <v>10932.414998149319</v>
      </c>
      <c r="K60" s="174">
        <f>'3 Statement Model'!K37</f>
        <v>12802.674597919005</v>
      </c>
    </row>
    <row r="61" spans="2:11" ht="14.4" customHeight="1" x14ac:dyDescent="0.3">
      <c r="B61" t="s">
        <v>326</v>
      </c>
      <c r="D61" s="174">
        <f>'3 Statement Model'!D62</f>
        <v>24029.580399999999</v>
      </c>
      <c r="E61" s="174">
        <f>'3 Statement Model'!E62</f>
        <v>27788.51152</v>
      </c>
      <c r="F61" s="174">
        <f>'3 Statement Model'!F62</f>
        <v>30834.23</v>
      </c>
      <c r="G61" s="174">
        <f>'3 Statement Model'!G62</f>
        <v>37027.597091290358</v>
      </c>
      <c r="H61" s="174">
        <f>'3 Statement Model'!H62</f>
        <v>44053.625388028857</v>
      </c>
      <c r="I61" s="174">
        <f>'3 Statement Model'!I62</f>
        <v>51764.463673186983</v>
      </c>
      <c r="J61" s="174">
        <f>'3 Statement Model'!J62</f>
        <v>60171.828784719073</v>
      </c>
      <c r="K61" s="174">
        <f>'3 Statement Model'!K62</f>
        <v>69958.345315330167</v>
      </c>
    </row>
    <row r="62" spans="2:11" ht="14.4" customHeight="1" x14ac:dyDescent="0.3">
      <c r="B62" s="61" t="s">
        <v>334</v>
      </c>
      <c r="C62" s="61"/>
      <c r="D62" s="212">
        <f>D60/D61</f>
        <v>0.14947163651846382</v>
      </c>
      <c r="E62" s="212">
        <f t="shared" ref="E62" si="47">E60/E61</f>
        <v>0.1733930429462599</v>
      </c>
      <c r="F62" s="212">
        <f t="shared" ref="F62" si="48">F60/F61</f>
        <v>0.21327019212738579</v>
      </c>
      <c r="G62" s="212">
        <f t="shared" ref="G62" si="49">G60/G61</f>
        <v>0.19127836880794977</v>
      </c>
      <c r="H62" s="212">
        <f t="shared" ref="H62" si="50">H60/H61</f>
        <v>0.18704262979653363</v>
      </c>
      <c r="I62" s="212">
        <f t="shared" ref="I62" si="51">I60/I61</f>
        <v>0.19046873667656494</v>
      </c>
      <c r="J62" s="212">
        <f t="shared" ref="J62" si="52">J60/J61</f>
        <v>0.18168660017402793</v>
      </c>
      <c r="K62" s="212">
        <f t="shared" ref="K62" si="53">K60/K61</f>
        <v>0.18300425117564237</v>
      </c>
    </row>
    <row r="64" spans="2:11" ht="14.4" customHeight="1" x14ac:dyDescent="0.3">
      <c r="B64" t="s">
        <v>332</v>
      </c>
      <c r="D64" s="174">
        <f>'3 Statement Model'!D37</f>
        <v>3591.7407072400024</v>
      </c>
      <c r="E64" s="174">
        <f>'3 Statement Model'!E37</f>
        <v>4818.3345713999979</v>
      </c>
      <c r="F64" s="174">
        <f>'3 Statement Model'!F37</f>
        <v>6576.0221562000024</v>
      </c>
      <c r="G64" s="174">
        <f>'3 Statement Model'!G37</f>
        <v>7082.5783725000056</v>
      </c>
      <c r="H64" s="174">
        <f>'3 Statement Model'!H37</f>
        <v>8239.905944648257</v>
      </c>
      <c r="I64" s="174">
        <f>'3 Statement Model'!I37</f>
        <v>9859.5120005718636</v>
      </c>
      <c r="J64" s="174">
        <f>'3 Statement Model'!J37</f>
        <v>10932.414998149319</v>
      </c>
      <c r="K64" s="174">
        <f>'3 Statement Model'!K37</f>
        <v>12802.674597919005</v>
      </c>
    </row>
    <row r="65" spans="1:11" ht="14.4" customHeight="1" x14ac:dyDescent="0.3">
      <c r="B65" t="s">
        <v>325</v>
      </c>
      <c r="D65" s="174">
        <f>'3 Statement Model'!D78</f>
        <v>8586.0544000000009</v>
      </c>
      <c r="E65" s="174">
        <f>'3 Statement Model'!E78</f>
        <v>10467.32512</v>
      </c>
      <c r="F65" s="174">
        <f>'3 Statement Model'!F78</f>
        <v>14078.562399999999</v>
      </c>
      <c r="G65" s="174">
        <f>'3 Statement Model'!G78</f>
        <v>19036.367260749998</v>
      </c>
      <c r="H65" s="174">
        <f>'3 Statement Model'!H78</f>
        <v>24804.301422003773</v>
      </c>
      <c r="I65" s="174">
        <f>'3 Statement Model'!I78</f>
        <v>31705.959822404078</v>
      </c>
      <c r="J65" s="174">
        <f>'3 Statement Model'!J78</f>
        <v>39358.650321108602</v>
      </c>
      <c r="K65" s="174">
        <f>'3 Statement Model'!K78</f>
        <v>48320.522539651902</v>
      </c>
    </row>
    <row r="66" spans="1:11" ht="14.4" customHeight="1" x14ac:dyDescent="0.3">
      <c r="B66" s="61" t="s">
        <v>335</v>
      </c>
      <c r="C66" s="61"/>
      <c r="D66" s="212">
        <f>D64/D65</f>
        <v>0.41832261244932273</v>
      </c>
      <c r="E66" s="212">
        <f t="shared" ref="E66" si="54">E64/E65</f>
        <v>0.46032147813901075</v>
      </c>
      <c r="F66" s="212">
        <f t="shared" ref="F66" si="55">F64/F65</f>
        <v>0.46709471957165194</v>
      </c>
      <c r="G66" s="212">
        <f t="shared" ref="G66" si="56">G64/G65</f>
        <v>0.37205514452871324</v>
      </c>
      <c r="H66" s="212">
        <f t="shared" ref="H66" si="57">H64/H65</f>
        <v>0.33219665430039796</v>
      </c>
      <c r="I66" s="212">
        <f t="shared" ref="I66" si="58">I64/I65</f>
        <v>0.31096715115386386</v>
      </c>
      <c r="J66" s="212">
        <f t="shared" ref="J66" si="59">J64/J65</f>
        <v>0.27776397079058651</v>
      </c>
      <c r="K66" s="212">
        <f t="shared" ref="K66" si="60">K64/K65</f>
        <v>0.26495314878710408</v>
      </c>
    </row>
    <row r="68" spans="1:11" ht="18" customHeight="1" x14ac:dyDescent="0.35">
      <c r="A68" s="44" t="s">
        <v>52</v>
      </c>
      <c r="B68" s="76" t="s">
        <v>336</v>
      </c>
      <c r="C68" s="168"/>
      <c r="D68" s="169"/>
      <c r="E68" s="169"/>
      <c r="F68" s="169"/>
      <c r="G68" s="169"/>
      <c r="H68" s="169"/>
      <c r="I68" s="169"/>
      <c r="J68" s="169"/>
      <c r="K68" s="169"/>
    </row>
    <row r="70" spans="1:11" ht="14.4" customHeight="1" x14ac:dyDescent="0.3">
      <c r="B70" t="s">
        <v>200</v>
      </c>
      <c r="D70" s="174">
        <f>'3 Statement Model'!D$13</f>
        <v>47325.572</v>
      </c>
      <c r="E70" s="174">
        <f>'3 Statement Model'!E13</f>
        <v>52562.985999999997</v>
      </c>
      <c r="F70" s="174">
        <f>'3 Statement Model'!F13</f>
        <v>58055.611599999997</v>
      </c>
      <c r="G70" s="174">
        <f>'3 Statement Model'!G13</f>
        <v>64026.885000000002</v>
      </c>
      <c r="H70" s="174">
        <f>'3 Statement Model'!H13</f>
        <v>70682.569249500011</v>
      </c>
      <c r="I70" s="174">
        <f>'3 Statement Model'!I13</f>
        <v>77925.30830198506</v>
      </c>
      <c r="J70" s="174">
        <f>'3 Statement Model'!J13</f>
        <v>85058.868569459955</v>
      </c>
      <c r="K70" s="174">
        <f>'3 Statement Model'!K13</f>
        <v>92874.146713418682</v>
      </c>
    </row>
    <row r="71" spans="1:11" ht="14.4" customHeight="1" x14ac:dyDescent="0.3">
      <c r="B71" t="s">
        <v>326</v>
      </c>
      <c r="D71" s="174">
        <f>'3 Statement Model'!D62</f>
        <v>24029.580399999999</v>
      </c>
      <c r="E71" s="174">
        <f>'3 Statement Model'!E62</f>
        <v>27788.51152</v>
      </c>
      <c r="F71" s="174">
        <f>'3 Statement Model'!F62</f>
        <v>30834.23</v>
      </c>
      <c r="G71" s="174">
        <f>'3 Statement Model'!G62</f>
        <v>37027.597091290358</v>
      </c>
      <c r="H71" s="174">
        <f>'3 Statement Model'!H62</f>
        <v>44053.625388028857</v>
      </c>
      <c r="I71" s="174">
        <f>'3 Statement Model'!I62</f>
        <v>51764.463673186983</v>
      </c>
      <c r="J71" s="174">
        <f>'3 Statement Model'!J62</f>
        <v>60171.828784719073</v>
      </c>
      <c r="K71" s="174">
        <f>'3 Statement Model'!K62</f>
        <v>69958.345315330167</v>
      </c>
    </row>
    <row r="72" spans="1:11" ht="14.4" customHeight="1" x14ac:dyDescent="0.3">
      <c r="B72" s="61" t="s">
        <v>337</v>
      </c>
      <c r="C72" s="61"/>
      <c r="D72" s="212">
        <f>D70/D71</f>
        <v>1.9694714269750628</v>
      </c>
      <c r="E72" s="212">
        <f t="shared" ref="E72:K72" si="61">E70/E71</f>
        <v>1.891536578422679</v>
      </c>
      <c r="F72" s="212">
        <f t="shared" si="61"/>
        <v>1.8828299458102244</v>
      </c>
      <c r="G72" s="212">
        <f t="shared" si="61"/>
        <v>1.7291666224557798</v>
      </c>
      <c r="H72" s="212">
        <f t="shared" si="61"/>
        <v>1.6044665706152599</v>
      </c>
      <c r="I72" s="212">
        <f t="shared" si="61"/>
        <v>1.5053823177607635</v>
      </c>
      <c r="J72" s="212">
        <f t="shared" si="61"/>
        <v>1.4135995246842334</v>
      </c>
      <c r="K72" s="212">
        <f t="shared" si="61"/>
        <v>1.3275635136136776</v>
      </c>
    </row>
    <row r="73" spans="1:11" ht="14.4" customHeight="1" x14ac:dyDescent="0.3">
      <c r="B73" s="59"/>
      <c r="C73" s="59"/>
      <c r="D73" s="213"/>
      <c r="E73" s="213"/>
      <c r="F73" s="213"/>
      <c r="G73" s="213"/>
      <c r="H73" s="213"/>
      <c r="I73" s="213"/>
      <c r="J73" s="213"/>
      <c r="K73" s="213"/>
    </row>
    <row r="74" spans="1:11" ht="14.4" customHeight="1" x14ac:dyDescent="0.3">
      <c r="B74" t="s">
        <v>339</v>
      </c>
      <c r="D74" s="215" t="s">
        <v>342</v>
      </c>
      <c r="E74" s="217">
        <f>E70-D70</f>
        <v>5237.413999999997</v>
      </c>
      <c r="F74" s="217">
        <f t="shared" ref="F74:K74" si="62">F70-E70</f>
        <v>5492.6255999999994</v>
      </c>
      <c r="G74" s="217">
        <f t="shared" si="62"/>
        <v>5971.2734000000055</v>
      </c>
      <c r="H74" s="217">
        <f t="shared" si="62"/>
        <v>6655.6842495000092</v>
      </c>
      <c r="I74" s="217">
        <f t="shared" si="62"/>
        <v>7242.7390524850489</v>
      </c>
      <c r="J74" s="217">
        <f t="shared" si="62"/>
        <v>7133.5602674748952</v>
      </c>
      <c r="K74" s="217">
        <f t="shared" si="62"/>
        <v>7815.278143958727</v>
      </c>
    </row>
    <row r="75" spans="1:11" ht="14.4" customHeight="1" x14ac:dyDescent="0.3">
      <c r="B75" t="s">
        <v>340</v>
      </c>
      <c r="D75" s="215" t="s">
        <v>342</v>
      </c>
      <c r="E75" s="217">
        <f>E71-D71</f>
        <v>3758.9311200000011</v>
      </c>
      <c r="F75" s="217">
        <f t="shared" ref="F75:K75" si="63">F71-E71</f>
        <v>3045.7184799999995</v>
      </c>
      <c r="G75" s="217">
        <f t="shared" si="63"/>
        <v>6193.3670912903581</v>
      </c>
      <c r="H75" s="217">
        <f t="shared" si="63"/>
        <v>7026.0282967384992</v>
      </c>
      <c r="I75" s="217">
        <f t="shared" si="63"/>
        <v>7710.8382851581264</v>
      </c>
      <c r="J75" s="217">
        <f t="shared" si="63"/>
        <v>8407.3651115320899</v>
      </c>
      <c r="K75" s="217">
        <f t="shared" si="63"/>
        <v>9786.5165306110939</v>
      </c>
    </row>
    <row r="76" spans="1:11" ht="14.4" customHeight="1" x14ac:dyDescent="0.3">
      <c r="B76" s="61" t="s">
        <v>341</v>
      </c>
      <c r="C76" s="61"/>
      <c r="D76" s="216" t="s">
        <v>342</v>
      </c>
      <c r="E76" s="214">
        <f>E74/E75</f>
        <v>1.3933253451050189</v>
      </c>
      <c r="F76" s="214">
        <f t="shared" ref="F76:K76" si="64">F74/F75</f>
        <v>1.8033924133395285</v>
      </c>
      <c r="G76" s="214">
        <f t="shared" si="64"/>
        <v>0.96414007307871674</v>
      </c>
      <c r="H76" s="214">
        <f t="shared" si="64"/>
        <v>0.94728970172089899</v>
      </c>
      <c r="I76" s="214">
        <f t="shared" si="64"/>
        <v>0.93929334070277704</v>
      </c>
      <c r="J76" s="214">
        <f t="shared" si="64"/>
        <v>0.84848941051579152</v>
      </c>
      <c r="K76" s="214">
        <f t="shared" si="64"/>
        <v>0.79857609390567519</v>
      </c>
    </row>
    <row r="78" spans="1:11" ht="14.4" customHeight="1" x14ac:dyDescent="0.3">
      <c r="B78" t="s">
        <v>212</v>
      </c>
      <c r="D78" s="174">
        <f>'3 Statement Model'!D14*-1</f>
        <v>24230.696</v>
      </c>
      <c r="E78" s="174">
        <f>'3 Statement Model'!E14*-1</f>
        <v>26556.941599999998</v>
      </c>
      <c r="F78" s="174">
        <f>'3 Statement Model'!F14*-1</f>
        <v>28130.3904</v>
      </c>
      <c r="G78" s="174">
        <f>'3 Statement Model'!G14*-1</f>
        <v>30164.898249999998</v>
      </c>
      <c r="H78" s="174">
        <f>'3 Statement Model'!H14*-1</f>
        <v>32368.842189125004</v>
      </c>
      <c r="I78" s="174">
        <f>'3 Statement Model'!I14*-1</f>
        <v>34640.688971256743</v>
      </c>
      <c r="J78" s="174">
        <f>'3 Statement Model'!J14*-1</f>
        <v>36690.978546167695</v>
      </c>
      <c r="K78" s="174">
        <f>'3 Statement Model'!K14*-1</f>
        <v>38869.544875921914</v>
      </c>
    </row>
    <row r="79" spans="1:11" ht="14.4" customHeight="1" x14ac:dyDescent="0.3">
      <c r="B79" t="s">
        <v>22</v>
      </c>
      <c r="D79" s="174">
        <f>'3 Statement Model'!D50</f>
        <v>4686.8108000000002</v>
      </c>
      <c r="E79" s="174">
        <f>'3 Statement Model'!E50</f>
        <v>5155.4859999999999</v>
      </c>
      <c r="F79" s="174">
        <f>'3 Statement Model'!F50</f>
        <v>5592.6248000000005</v>
      </c>
      <c r="G79" s="174">
        <f>'3 Statement Model'!G50</f>
        <v>6000.7099095604108</v>
      </c>
      <c r="H79" s="174">
        <f>'3 Statement Model'!H50</f>
        <v>6439.1409669442373</v>
      </c>
      <c r="I79" s="174">
        <f>'3 Statement Model'!I50</f>
        <v>6891.0799519710099</v>
      </c>
      <c r="J79" s="174">
        <f>'3 Statement Model'!J50</f>
        <v>7298.9445125496804</v>
      </c>
      <c r="K79" s="174">
        <f>'3 Statement Model'!K50</f>
        <v>7732.3271964641135</v>
      </c>
    </row>
    <row r="80" spans="1:11" ht="14.4" customHeight="1" x14ac:dyDescent="0.3">
      <c r="B80" s="61" t="s">
        <v>338</v>
      </c>
      <c r="C80" s="61"/>
      <c r="D80" s="212">
        <f>D78/D79</f>
        <v>5.1699752846861236</v>
      </c>
      <c r="E80" s="212">
        <f t="shared" ref="E80" si="65">E78/E79</f>
        <v>5.1512004105917457</v>
      </c>
      <c r="F80" s="212">
        <f t="shared" ref="F80" si="66">F78/F79</f>
        <v>5.0299083893487717</v>
      </c>
      <c r="G80" s="212">
        <f t="shared" ref="G80" si="67">G78/G79</f>
        <v>5.0268882689931207</v>
      </c>
      <c r="H80" s="212">
        <f t="shared" ref="H80" si="68">H78/H79</f>
        <v>5.0268882689931198</v>
      </c>
      <c r="I80" s="212">
        <f t="shared" ref="I80" si="69">I78/I79</f>
        <v>5.0268882689931198</v>
      </c>
      <c r="J80" s="212">
        <f t="shared" ref="J80" si="70">J78/J79</f>
        <v>5.0268882689931198</v>
      </c>
      <c r="K80" s="212">
        <f t="shared" ref="K80" si="71">K78/K79</f>
        <v>5.0268882689931207</v>
      </c>
    </row>
    <row r="82" spans="1:12" ht="18" customHeight="1" x14ac:dyDescent="0.35">
      <c r="A82" s="44" t="s">
        <v>52</v>
      </c>
      <c r="B82" s="76" t="s">
        <v>343</v>
      </c>
      <c r="C82" s="168"/>
      <c r="D82" s="169"/>
      <c r="E82" s="169"/>
      <c r="F82" s="169"/>
      <c r="G82" s="169"/>
      <c r="H82" s="169"/>
      <c r="I82" s="169"/>
      <c r="J82" s="169"/>
      <c r="K82" s="169"/>
    </row>
    <row r="84" spans="1:12" ht="14.4" customHeight="1" x14ac:dyDescent="0.3">
      <c r="B84" t="s">
        <v>322</v>
      </c>
      <c r="D84" s="174">
        <f>SUM('3 Statement Model'!D71:D72)</f>
        <v>7487.2</v>
      </c>
      <c r="E84" s="174">
        <f>SUM('3 Statement Model'!E71:E72)</f>
        <v>6840.4</v>
      </c>
      <c r="F84" s="174">
        <f>SUM('3 Statement Model'!F71:F72)</f>
        <v>6193.5999999999995</v>
      </c>
      <c r="G84" s="174">
        <f>SUM('3 Statement Model'!G71:G72)</f>
        <v>6613.5999999999995</v>
      </c>
      <c r="H84" s="174">
        <f>SUM('3 Statement Model'!H71:H72)</f>
        <v>6983.5999999999995</v>
      </c>
      <c r="I84" s="174">
        <f>SUM('3 Statement Model'!I71:I72)</f>
        <v>6853.5999999999995</v>
      </c>
      <c r="J84" s="174">
        <f>SUM('3 Statement Model'!J71:J72)</f>
        <v>6723.5999999999995</v>
      </c>
      <c r="K84" s="174">
        <f>SUM('3 Statement Model'!K71:K72)</f>
        <v>6593.5999999999995</v>
      </c>
    </row>
    <row r="85" spans="1:12" ht="14.4" customHeight="1" x14ac:dyDescent="0.3">
      <c r="B85" t="s">
        <v>239</v>
      </c>
      <c r="D85" s="174">
        <f>'3 Statement Model'!D24</f>
        <v>5845.5314400000034</v>
      </c>
      <c r="E85" s="174">
        <f>'3 Statement Model'!E24</f>
        <v>7346.8639999999978</v>
      </c>
      <c r="F85" s="174">
        <f>'3 Statement Model'!F24</f>
        <v>9529.7747999999992</v>
      </c>
      <c r="G85" s="174">
        <f>'3 Statement Model'!G24</f>
        <v>11560.386825000005</v>
      </c>
      <c r="H85" s="174">
        <f>'3 Statement Model'!H24</f>
        <v>13652.155439277507</v>
      </c>
      <c r="I85" s="174">
        <f>'3 Statement Model'!I24</f>
        <v>16383.424538622879</v>
      </c>
      <c r="J85" s="174">
        <f>'3 Statement Model'!J24</f>
        <v>18409.171148712376</v>
      </c>
      <c r="K85" s="174">
        <f>'3 Statement Model'!K24</f>
        <v>21552.246842065884</v>
      </c>
    </row>
    <row r="86" spans="1:12" ht="14.4" customHeight="1" x14ac:dyDescent="0.3">
      <c r="B86" s="61" t="s">
        <v>344</v>
      </c>
      <c r="C86" s="61"/>
      <c r="D86" s="218">
        <f>D84/D85</f>
        <v>1.2808416269505165</v>
      </c>
      <c r="E86" s="218">
        <f t="shared" ref="E86:K86" si="72">E84/E85</f>
        <v>0.93106392060612553</v>
      </c>
      <c r="F86" s="218">
        <f t="shared" si="72"/>
        <v>0.6499209194324298</v>
      </c>
      <c r="G86" s="218">
        <f t="shared" si="72"/>
        <v>0.57209158310323205</v>
      </c>
      <c r="H86" s="218">
        <f t="shared" si="72"/>
        <v>0.51153827181809342</v>
      </c>
      <c r="I86" s="218">
        <f t="shared" si="72"/>
        <v>0.41832523986930048</v>
      </c>
      <c r="J86" s="218">
        <f t="shared" si="72"/>
        <v>0.36523100066187825</v>
      </c>
      <c r="K86" s="218">
        <f t="shared" si="72"/>
        <v>0.30593561999905028</v>
      </c>
    </row>
    <row r="88" spans="1:12" ht="14.4" customHeight="1" x14ac:dyDescent="0.3">
      <c r="B88" t="s">
        <v>240</v>
      </c>
      <c r="E88" s="174">
        <f>'3 Statement Model'!E29</f>
        <v>6342.0503999999983</v>
      </c>
      <c r="F88" s="174">
        <f>'3 Statement Model'!F29</f>
        <v>8514.1812000000009</v>
      </c>
      <c r="G88" s="174">
        <f>'3 Statement Model'!G29</f>
        <v>10096.605030000006</v>
      </c>
      <c r="H88" s="174">
        <f>'3 Statement Model'!H29</f>
        <v>11693.595659531007</v>
      </c>
      <c r="I88" s="174">
        <f>'3 Statement Model'!I29</f>
        <v>13879.387600762484</v>
      </c>
      <c r="J88" s="174">
        <f>'3 Statement Model'!J29</f>
        <v>15309.722130865759</v>
      </c>
      <c r="K88" s="174">
        <f>'3 Statement Model'!K29</f>
        <v>17802.678797225341</v>
      </c>
    </row>
    <row r="89" spans="1:12" ht="14.4" customHeight="1" x14ac:dyDescent="0.3">
      <c r="B89" t="s">
        <v>345</v>
      </c>
      <c r="E89" s="174">
        <f>SUM('3 Statement Model'!E32:E33)*-1</f>
        <v>307.81800000000004</v>
      </c>
      <c r="F89" s="174">
        <f>SUM('3 Statement Model'!F32:F33)*-1</f>
        <v>278.71199999999999</v>
      </c>
      <c r="G89" s="174">
        <f>SUM('3 Statement Model'!G32:G33)*-1</f>
        <v>653.16719999999998</v>
      </c>
      <c r="H89" s="174">
        <f>SUM('3 Statement Model'!H32:H33)*-1</f>
        <v>707.05439999999999</v>
      </c>
      <c r="I89" s="174">
        <f>SUM('3 Statement Model'!I32:I33)*-1</f>
        <v>733.37160000000006</v>
      </c>
      <c r="J89" s="174">
        <f>SUM('3 Statement Model'!J32:J33)*-1</f>
        <v>733.16880000000003</v>
      </c>
      <c r="K89" s="174">
        <f>SUM('3 Statement Model'!K32:K33)*-1</f>
        <v>732.44600000000003</v>
      </c>
    </row>
    <row r="90" spans="1:12" ht="14.4" customHeight="1" x14ac:dyDescent="0.3">
      <c r="B90" t="s">
        <v>346</v>
      </c>
      <c r="E90" s="174">
        <f>'3 Statement Model'!D71-'3 Statement Model'!E71</f>
        <v>646.80000000000018</v>
      </c>
      <c r="F90" s="174">
        <f>'3 Statement Model'!E71-'3 Statement Model'!F71</f>
        <v>646.80000000000018</v>
      </c>
      <c r="G90" s="174">
        <f>Schedules!F327</f>
        <v>80</v>
      </c>
      <c r="H90" s="174">
        <f>Schedules!G327</f>
        <v>130</v>
      </c>
      <c r="I90" s="174">
        <f>Schedules!H327</f>
        <v>130</v>
      </c>
      <c r="J90" s="174">
        <f>Schedules!I327</f>
        <v>130</v>
      </c>
      <c r="K90" s="174">
        <f>Schedules!J327</f>
        <v>130</v>
      </c>
    </row>
    <row r="91" spans="1:12" ht="14.4" customHeight="1" x14ac:dyDescent="0.3">
      <c r="B91" s="61" t="s">
        <v>344</v>
      </c>
      <c r="C91" s="61"/>
      <c r="D91" s="212"/>
      <c r="E91" s="218">
        <f>E88/SUM(E89:E90)</f>
        <v>6.6435478903603293</v>
      </c>
      <c r="F91" s="218">
        <f t="shared" ref="F91" si="73">F89/F90</f>
        <v>0.4309090909090908</v>
      </c>
      <c r="G91" s="218">
        <f t="shared" ref="G91" si="74">G89/G90</f>
        <v>8.1645900000000005</v>
      </c>
      <c r="H91" s="218">
        <f t="shared" ref="H91" si="75">H89/H90</f>
        <v>5.4388800000000002</v>
      </c>
      <c r="I91" s="218">
        <f t="shared" ref="I91" si="76">I89/I90</f>
        <v>5.6413200000000003</v>
      </c>
      <c r="J91" s="218">
        <f t="shared" ref="J91" si="77">J89/J90</f>
        <v>5.6397599999999999</v>
      </c>
      <c r="K91" s="218">
        <f t="shared" ref="K91" si="78">K89/K90</f>
        <v>5.6341999999999999</v>
      </c>
      <c r="L91" s="218"/>
    </row>
    <row r="93" spans="1:12" ht="14.4" customHeight="1" x14ac:dyDescent="0.3">
      <c r="B93" t="s">
        <v>240</v>
      </c>
      <c r="D93" s="174">
        <f>'3 Statement Model'!D29</f>
        <v>4835.0338400000028</v>
      </c>
      <c r="E93" s="174">
        <f>'3 Statement Model'!E29</f>
        <v>6342.0503999999983</v>
      </c>
      <c r="F93" s="174">
        <f>'3 Statement Model'!F29</f>
        <v>8514.1812000000009</v>
      </c>
      <c r="G93" s="174">
        <f>'3 Statement Model'!G29</f>
        <v>10096.605030000006</v>
      </c>
      <c r="H93" s="174">
        <f>'3 Statement Model'!H29</f>
        <v>11693.595659531007</v>
      </c>
      <c r="I93" s="174">
        <f>'3 Statement Model'!I29</f>
        <v>13879.387600762484</v>
      </c>
      <c r="J93" s="174">
        <f>'3 Statement Model'!J29</f>
        <v>15309.722130865759</v>
      </c>
      <c r="K93" s="174">
        <f>'3 Statement Model'!K29</f>
        <v>17802.678797225341</v>
      </c>
    </row>
    <row r="94" spans="1:12" ht="14.4" customHeight="1" x14ac:dyDescent="0.3">
      <c r="B94" t="s">
        <v>345</v>
      </c>
      <c r="D94" s="174">
        <f>SUM('3 Statement Model'!D32:D33)*-1</f>
        <v>336.92399999999998</v>
      </c>
      <c r="E94" s="174">
        <f>SUM('3 Statement Model'!E32:E33)*-1</f>
        <v>307.81800000000004</v>
      </c>
      <c r="F94" s="174">
        <f>SUM('3 Statement Model'!F32:F33)*-1</f>
        <v>278.71199999999999</v>
      </c>
      <c r="G94" s="174">
        <f>SUM('3 Statement Model'!G32:G33)*-1</f>
        <v>653.16719999999998</v>
      </c>
      <c r="H94" s="174">
        <f>SUM('3 Statement Model'!H32:H33)*-1</f>
        <v>707.05439999999999</v>
      </c>
      <c r="I94" s="174">
        <f>SUM('3 Statement Model'!I32:I33)*-1</f>
        <v>733.37160000000006</v>
      </c>
      <c r="J94" s="174">
        <f>SUM('3 Statement Model'!J32:J33)*-1</f>
        <v>733.16880000000003</v>
      </c>
      <c r="K94" s="174">
        <f>SUM('3 Statement Model'!K32:K33)*-1</f>
        <v>732.44600000000003</v>
      </c>
    </row>
    <row r="95" spans="1:12" ht="14.4" customHeight="1" x14ac:dyDescent="0.3">
      <c r="B95" s="61" t="s">
        <v>344</v>
      </c>
      <c r="C95" s="61"/>
      <c r="D95" s="218">
        <f>D93/D94</f>
        <v>14.350517742873773</v>
      </c>
      <c r="E95" s="218">
        <f t="shared" ref="E95:K95" si="79">E93/E94</f>
        <v>20.603247373447939</v>
      </c>
      <c r="F95" s="218">
        <f t="shared" si="79"/>
        <v>30.548312236286925</v>
      </c>
      <c r="G95" s="218">
        <f t="shared" si="79"/>
        <v>15.457918018541051</v>
      </c>
      <c r="H95" s="218">
        <f t="shared" si="79"/>
        <v>16.538466714203331</v>
      </c>
      <c r="I95" s="218">
        <f t="shared" si="79"/>
        <v>18.925450073008665</v>
      </c>
      <c r="J95" s="218">
        <f t="shared" si="79"/>
        <v>20.881578881787874</v>
      </c>
      <c r="K95" s="218">
        <f t="shared" si="79"/>
        <v>24.305790184157384</v>
      </c>
    </row>
  </sheetData>
  <mergeCells count="2">
    <mergeCell ref="D8:F8"/>
    <mergeCell ref="G8:K8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Drop Down 1">
              <controlPr defaultSize="0" autoLine="0" autoPict="0">
                <anchor moveWithCells="1">
                  <from>
                    <xdr:col>6</xdr:col>
                    <xdr:colOff>38100</xdr:colOff>
                    <xdr:row>2</xdr:row>
                    <xdr:rowOff>198120</xdr:rowOff>
                  </from>
                  <to>
                    <xdr:col>7</xdr:col>
                    <xdr:colOff>373380</xdr:colOff>
                    <xdr:row>4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E592-C778-431C-84F3-01228F742267}">
  <sheetPr>
    <pageSetUpPr autoPageBreaks="0"/>
  </sheetPr>
  <dimension ref="A2:L95"/>
  <sheetViews>
    <sheetView showGridLines="0" tabSelected="1" zoomScale="90" zoomScaleNormal="90" workbookViewId="0">
      <pane xSplit="1" ySplit="9" topLeftCell="B82" activePane="bottomRight" state="frozen"/>
      <selection pane="topRight" activeCell="B1" sqref="B1"/>
      <selection pane="bottomLeft" activeCell="A10" sqref="A10"/>
      <selection pane="bottomRight" activeCell="E64" sqref="E64:E73"/>
    </sheetView>
  </sheetViews>
  <sheetFormatPr defaultRowHeight="14.4" customHeight="1" x14ac:dyDescent="0.3"/>
  <cols>
    <col min="1" max="1" width="1.88671875" customWidth="1"/>
    <col min="2" max="2" width="41.33203125" customWidth="1"/>
    <col min="3" max="3" width="23.5546875" customWidth="1"/>
    <col min="4" max="4" width="18.88671875" bestFit="1" customWidth="1"/>
    <col min="5" max="10" width="12.77734375" customWidth="1"/>
    <col min="11" max="11" width="1.88671875" customWidth="1"/>
    <col min="13" max="13" width="12.77734375" customWidth="1"/>
  </cols>
  <sheetData>
    <row r="2" spans="1:10" ht="19.95" customHeight="1" x14ac:dyDescent="0.45">
      <c r="B2" s="47" t="s">
        <v>47</v>
      </c>
      <c r="C2" s="47"/>
      <c r="D2" s="44"/>
    </row>
    <row r="3" spans="1:10" ht="14.4" customHeight="1" x14ac:dyDescent="0.35">
      <c r="B3" s="46" t="s">
        <v>307</v>
      </c>
      <c r="C3" s="46"/>
    </row>
    <row r="4" spans="1:10" ht="14.4" customHeight="1" x14ac:dyDescent="0.3">
      <c r="E4" t="s">
        <v>59</v>
      </c>
      <c r="F4">
        <v>1</v>
      </c>
    </row>
    <row r="8" spans="1:10" ht="14.4" customHeight="1" x14ac:dyDescent="0.3">
      <c r="E8" s="54"/>
      <c r="F8" s="235" t="s">
        <v>51</v>
      </c>
      <c r="G8" s="235"/>
      <c r="H8" s="235"/>
      <c r="I8" s="235"/>
      <c r="J8" s="235"/>
    </row>
    <row r="9" spans="1:10" ht="14.4" customHeight="1" x14ac:dyDescent="0.3">
      <c r="B9" s="81" t="s">
        <v>49</v>
      </c>
      <c r="C9" s="81"/>
      <c r="D9" s="45"/>
      <c r="E9" s="146">
        <f>'Common Size Statement'!F9</f>
        <v>2023</v>
      </c>
      <c r="F9" s="146">
        <f t="shared" ref="F9:J9" si="0">E9+1</f>
        <v>2024</v>
      </c>
      <c r="G9" s="146">
        <f t="shared" si="0"/>
        <v>2025</v>
      </c>
      <c r="H9" s="146">
        <f t="shared" si="0"/>
        <v>2026</v>
      </c>
      <c r="I9" s="146">
        <f t="shared" si="0"/>
        <v>2027</v>
      </c>
      <c r="J9" s="146">
        <f t="shared" si="0"/>
        <v>2028</v>
      </c>
    </row>
    <row r="10" spans="1:10" ht="14.4" customHeight="1" x14ac:dyDescent="0.3">
      <c r="B10" s="150"/>
      <c r="C10" s="150"/>
      <c r="E10" s="151"/>
      <c r="F10" s="151"/>
      <c r="G10" s="151"/>
      <c r="H10" s="151"/>
      <c r="I10" s="151"/>
      <c r="J10" s="151"/>
    </row>
    <row r="11" spans="1:10" s="44" customFormat="1" ht="18" customHeight="1" x14ac:dyDescent="0.35">
      <c r="A11" s="44" t="s">
        <v>52</v>
      </c>
      <c r="B11" s="76" t="s">
        <v>353</v>
      </c>
      <c r="C11" s="76"/>
      <c r="D11" s="168"/>
      <c r="E11" s="169"/>
      <c r="F11" s="169"/>
      <c r="G11" s="169"/>
      <c r="H11" s="169"/>
      <c r="I11" s="169"/>
      <c r="J11" s="169"/>
    </row>
    <row r="13" spans="1:10" ht="14.4" customHeight="1" x14ac:dyDescent="0.3">
      <c r="B13" t="s">
        <v>239</v>
      </c>
      <c r="F13" s="147">
        <f>'3 Statement Model'!G24</f>
        <v>11560.386825000005</v>
      </c>
      <c r="G13" s="147">
        <f>'3 Statement Model'!H24</f>
        <v>13652.155439277507</v>
      </c>
      <c r="H13" s="147">
        <f>'3 Statement Model'!I24</f>
        <v>16383.424538622879</v>
      </c>
      <c r="I13" s="147">
        <f>'3 Statement Model'!J24</f>
        <v>18409.171148712376</v>
      </c>
      <c r="J13" s="147">
        <f>'3 Statement Model'!K24</f>
        <v>21552.246842065884</v>
      </c>
    </row>
    <row r="14" spans="1:10" ht="14.4" customHeight="1" x14ac:dyDescent="0.3">
      <c r="B14" s="119" t="s">
        <v>184</v>
      </c>
      <c r="C14" s="119"/>
      <c r="F14" s="147">
        <f>'3 Statement Model'!G27</f>
        <v>-1103.5072250000001</v>
      </c>
      <c r="G14" s="147">
        <f>'3 Statement Model'!H27</f>
        <v>-1456.9200712475001</v>
      </c>
      <c r="H14" s="147">
        <f>'3 Statement Model'!I27</f>
        <v>-1846.5466127574255</v>
      </c>
      <c r="I14" s="147">
        <f>'3 Statement Model'!J27</f>
        <v>-2271.8409556047254</v>
      </c>
      <c r="J14" s="147">
        <f>'3 Statement Model'!K27</f>
        <v>-2736.2116891718188</v>
      </c>
    </row>
    <row r="15" spans="1:10" ht="14.4" customHeight="1" x14ac:dyDescent="0.3">
      <c r="B15" s="119" t="s">
        <v>189</v>
      </c>
      <c r="C15" s="119"/>
      <c r="F15" s="147">
        <f>'3 Statement Model'!G28</f>
        <v>-360.27457000000004</v>
      </c>
      <c r="G15" s="147">
        <f>'3 Statement Model'!H28</f>
        <v>-501.63970849900005</v>
      </c>
      <c r="H15" s="147">
        <f>'3 Statement Model'!I28</f>
        <v>-657.49032510297013</v>
      </c>
      <c r="I15" s="147">
        <f>'3 Statement Model'!J28</f>
        <v>-827.60806224189002</v>
      </c>
      <c r="J15" s="147">
        <f>'3 Statement Model'!K28</f>
        <v>-1013.3563556687274</v>
      </c>
    </row>
    <row r="16" spans="1:10" ht="14.4" customHeight="1" x14ac:dyDescent="0.3">
      <c r="B16" s="61" t="s">
        <v>240</v>
      </c>
      <c r="C16" s="61"/>
      <c r="D16" s="61"/>
      <c r="E16" s="61"/>
      <c r="F16" s="148">
        <f>SUM(F13:F15)</f>
        <v>10096.605030000006</v>
      </c>
      <c r="G16" s="148">
        <f t="shared" ref="G16:J16" si="1">SUM(G13:G15)</f>
        <v>11693.595659531007</v>
      </c>
      <c r="H16" s="148">
        <f t="shared" si="1"/>
        <v>13879.387600762484</v>
      </c>
      <c r="I16" s="148">
        <f t="shared" si="1"/>
        <v>15309.722130865759</v>
      </c>
      <c r="J16" s="148">
        <f t="shared" si="1"/>
        <v>17802.678797225341</v>
      </c>
    </row>
    <row r="17" spans="2:11" ht="14.4" customHeight="1" x14ac:dyDescent="0.3">
      <c r="B17" s="119" t="s">
        <v>347</v>
      </c>
      <c r="C17" s="119"/>
      <c r="F17" s="147">
        <f>'3 Statement Model'!G36</f>
        <v>-2360.8594575000002</v>
      </c>
      <c r="G17" s="147">
        <f>'3 Statement Model'!H36</f>
        <v>-2746.6353148827511</v>
      </c>
      <c r="H17" s="147">
        <f>'3 Statement Model'!I36</f>
        <v>-3286.50400019062</v>
      </c>
      <c r="I17" s="147">
        <f>'3 Statement Model'!J36</f>
        <v>-3644.1383327164403</v>
      </c>
      <c r="J17" s="147">
        <f>'3 Statement Model'!K36</f>
        <v>-4267.5581993063342</v>
      </c>
    </row>
    <row r="18" spans="2:11" ht="14.4" customHeight="1" x14ac:dyDescent="0.3">
      <c r="B18" s="219" t="s">
        <v>348</v>
      </c>
      <c r="C18" s="219"/>
      <c r="D18" s="61"/>
      <c r="E18" s="61"/>
      <c r="F18" s="148">
        <f>SUM(F16:F17)</f>
        <v>7735.7455725000054</v>
      </c>
      <c r="G18" s="148">
        <f t="shared" ref="G18:J18" si="2">SUM(G16:G17)</f>
        <v>8946.9603446482561</v>
      </c>
      <c r="H18" s="148">
        <f t="shared" si="2"/>
        <v>10592.883600571864</v>
      </c>
      <c r="I18" s="148">
        <f t="shared" si="2"/>
        <v>11665.583798149319</v>
      </c>
      <c r="J18" s="148">
        <f t="shared" si="2"/>
        <v>13535.120597919005</v>
      </c>
    </row>
    <row r="19" spans="2:11" ht="14.4" customHeight="1" x14ac:dyDescent="0.3">
      <c r="B19" s="119" t="s">
        <v>263</v>
      </c>
      <c r="C19" s="119"/>
      <c r="F19" s="85">
        <f>F14*-1</f>
        <v>1103.5072250000001</v>
      </c>
      <c r="G19" s="85">
        <f t="shared" ref="G19:J19" si="3">G14*-1</f>
        <v>1456.9200712475001</v>
      </c>
      <c r="H19" s="85">
        <f t="shared" si="3"/>
        <v>1846.5466127574255</v>
      </c>
      <c r="I19" s="85">
        <f t="shared" si="3"/>
        <v>2271.8409556047254</v>
      </c>
      <c r="J19" s="85">
        <f t="shared" si="3"/>
        <v>2736.2116891718188</v>
      </c>
    </row>
    <row r="20" spans="2:11" ht="14.4" customHeight="1" x14ac:dyDescent="0.3">
      <c r="B20" s="119" t="s">
        <v>264</v>
      </c>
      <c r="C20" s="119"/>
      <c r="F20" s="85">
        <f>F15*-1</f>
        <v>360.27457000000004</v>
      </c>
      <c r="G20" s="85">
        <f t="shared" ref="G20:J20" si="4">G15*-1</f>
        <v>501.63970849900005</v>
      </c>
      <c r="H20" s="85">
        <f t="shared" si="4"/>
        <v>657.49032510297013</v>
      </c>
      <c r="I20" s="85">
        <f t="shared" si="4"/>
        <v>827.60806224189002</v>
      </c>
      <c r="J20" s="85">
        <f t="shared" si="4"/>
        <v>1013.3563556687274</v>
      </c>
    </row>
    <row r="22" spans="2:11" ht="14.4" customHeight="1" x14ac:dyDescent="0.3">
      <c r="B22" s="220" t="s">
        <v>349</v>
      </c>
      <c r="C22" s="220"/>
    </row>
    <row r="23" spans="2:11" ht="14.4" customHeight="1" x14ac:dyDescent="0.3">
      <c r="B23" s="221" t="s">
        <v>350</v>
      </c>
      <c r="C23" s="221"/>
      <c r="F23" s="147">
        <f>'3 Statement Model'!G100</f>
        <v>-514.49445126856256</v>
      </c>
      <c r="G23" s="147">
        <f>'3 Statement Model'!H100</f>
        <v>-570.19215793921308</v>
      </c>
      <c r="H23" s="147">
        <f>'3 Statement Model'!I100</f>
        <v>-622.56916172190472</v>
      </c>
      <c r="I23" s="147">
        <f>'3 Statement Model'!J100</f>
        <v>-616.27046624751506</v>
      </c>
      <c r="J23" s="147">
        <f>'3 Statement Model'!K100</f>
        <v>-676.27900590314391</v>
      </c>
    </row>
    <row r="24" spans="2:11" ht="14.4" customHeight="1" x14ac:dyDescent="0.3">
      <c r="B24" s="221" t="s">
        <v>351</v>
      </c>
      <c r="C24" s="221"/>
      <c r="F24" s="147">
        <f>'3 Statement Model'!G103</f>
        <v>-3201.3442500000001</v>
      </c>
      <c r="G24" s="147">
        <f>'3 Statement Model'!H103</f>
        <v>-3534.1284624750006</v>
      </c>
      <c r="H24" s="147">
        <f>'3 Statement Model'!I103</f>
        <v>-3896.265415099253</v>
      </c>
      <c r="I24" s="147">
        <f>'3 Statement Model'!J103</f>
        <v>-4252.9434284729978</v>
      </c>
      <c r="J24" s="147">
        <f>'3 Statement Model'!K103</f>
        <v>-4643.7073356709343</v>
      </c>
    </row>
    <row r="25" spans="2:11" ht="14.4" customHeight="1" x14ac:dyDescent="0.3">
      <c r="B25" s="221" t="s">
        <v>352</v>
      </c>
      <c r="C25" s="221"/>
      <c r="F25" s="147">
        <f>'3 Statement Model'!G104</f>
        <v>-1920.80655</v>
      </c>
      <c r="G25" s="147">
        <f>'3 Statement Model'!H104</f>
        <v>-2120.4770774850003</v>
      </c>
      <c r="H25" s="147">
        <f>'3 Statement Model'!I104</f>
        <v>-2337.7592490595516</v>
      </c>
      <c r="I25" s="147">
        <f>'3 Statement Model'!J104</f>
        <v>-2551.7660570837984</v>
      </c>
      <c r="J25" s="147">
        <f>'3 Statement Model'!K104</f>
        <v>-2786.2244014025605</v>
      </c>
    </row>
    <row r="26" spans="2:11" ht="14.4" customHeight="1" x14ac:dyDescent="0.3">
      <c r="B26" s="61" t="s">
        <v>353</v>
      </c>
      <c r="C26" s="61"/>
      <c r="D26" s="61"/>
      <c r="E26" s="61"/>
      <c r="F26" s="148">
        <f>F18+F19+F20+F23+F24+F25</f>
        <v>3562.8821162314407</v>
      </c>
      <c r="G26" s="148">
        <f t="shared" ref="G26:J26" si="5">G18+G19+G20+G23+G24+G25</f>
        <v>4680.7224264955421</v>
      </c>
      <c r="H26" s="148">
        <f t="shared" si="5"/>
        <v>6240.3267125515495</v>
      </c>
      <c r="I26" s="148">
        <f t="shared" si="5"/>
        <v>7344.0528641916226</v>
      </c>
      <c r="J26" s="148">
        <f t="shared" si="5"/>
        <v>9178.4778997829126</v>
      </c>
    </row>
    <row r="28" spans="2:11" ht="14.4" customHeight="1" x14ac:dyDescent="0.3">
      <c r="B28" s="221" t="s">
        <v>355</v>
      </c>
      <c r="C28" s="241" t="s">
        <v>356</v>
      </c>
      <c r="D28" s="242" t="s">
        <v>354</v>
      </c>
      <c r="F28" s="208">
        <f>IF(D28="Yes",(F9-E9)/2,F9-E9)</f>
        <v>0.5</v>
      </c>
      <c r="G28" s="208">
        <f>F28+1</f>
        <v>1.5</v>
      </c>
      <c r="H28" s="208">
        <f t="shared" ref="H28:J28" si="6">G28+1</f>
        <v>2.5</v>
      </c>
      <c r="I28" s="208">
        <f t="shared" si="6"/>
        <v>3.5</v>
      </c>
      <c r="J28" s="208">
        <f t="shared" si="6"/>
        <v>4.5</v>
      </c>
      <c r="K28" s="208"/>
    </row>
    <row r="29" spans="2:11" ht="14.4" customHeight="1" x14ac:dyDescent="0.3">
      <c r="B29" s="221" t="s">
        <v>357</v>
      </c>
      <c r="C29" s="243">
        <f>C45</f>
        <v>0.11047999999999999</v>
      </c>
    </row>
    <row r="30" spans="2:11" ht="14.4" customHeight="1" x14ac:dyDescent="0.3">
      <c r="B30" s="221" t="s">
        <v>358</v>
      </c>
      <c r="F30" s="234">
        <f>1/(1+$C$29)^F28</f>
        <v>0.94895283893701443</v>
      </c>
      <c r="G30" s="234">
        <f t="shared" ref="G30:J30" si="7">1/(1+$C$29)^G28</f>
        <v>0.85454293543063764</v>
      </c>
      <c r="H30" s="234">
        <f t="shared" si="7"/>
        <v>0.76952573250363598</v>
      </c>
      <c r="I30" s="234">
        <f t="shared" si="7"/>
        <v>0.69296676437543769</v>
      </c>
      <c r="J30" s="234">
        <f t="shared" si="7"/>
        <v>0.62402453387313395</v>
      </c>
    </row>
    <row r="32" spans="2:11" ht="14.4" customHeight="1" thickBot="1" x14ac:dyDescent="0.35">
      <c r="B32" s="222" t="s">
        <v>359</v>
      </c>
      <c r="C32" s="223"/>
      <c r="D32" s="223"/>
      <c r="E32" s="223"/>
      <c r="F32" s="224">
        <f>F26*F30</f>
        <v>3381.0070989957435</v>
      </c>
      <c r="G32" s="224">
        <f t="shared" ref="G32:J32" si="8">G26*G30</f>
        <v>3999.8782822735175</v>
      </c>
      <c r="H32" s="224">
        <f t="shared" si="8"/>
        <v>4802.0919845382377</v>
      </c>
      <c r="I32" s="224">
        <f t="shared" si="8"/>
        <v>5089.1845507010348</v>
      </c>
      <c r="J32" s="224">
        <f t="shared" si="8"/>
        <v>5727.5953930768937</v>
      </c>
    </row>
    <row r="34" spans="1:12" s="44" customFormat="1" ht="18" customHeight="1" x14ac:dyDescent="0.35">
      <c r="A34" s="44" t="s">
        <v>52</v>
      </c>
      <c r="B34" s="76" t="s">
        <v>360</v>
      </c>
      <c r="C34" s="76"/>
      <c r="D34" s="168"/>
      <c r="E34" s="169"/>
      <c r="F34" s="169"/>
      <c r="G34" s="169"/>
      <c r="H34" s="169"/>
      <c r="I34" s="169"/>
      <c r="J34" s="169"/>
    </row>
    <row r="36" spans="1:12" ht="14.4" customHeight="1" x14ac:dyDescent="0.3">
      <c r="B36" t="s">
        <v>361</v>
      </c>
      <c r="C36" s="130">
        <v>4.58E-2</v>
      </c>
    </row>
    <row r="37" spans="1:12" ht="14.4" customHeight="1" x14ac:dyDescent="0.3">
      <c r="B37" t="s">
        <v>362</v>
      </c>
      <c r="C37" s="130">
        <v>0.06</v>
      </c>
    </row>
    <row r="38" spans="1:12" ht="14.4" customHeight="1" x14ac:dyDescent="0.3">
      <c r="B38" t="s">
        <v>363</v>
      </c>
      <c r="C38" s="130">
        <v>1.01</v>
      </c>
    </row>
    <row r="39" spans="1:12" s="44" customFormat="1" ht="18" customHeight="1" x14ac:dyDescent="0.35">
      <c r="B39" s="61" t="s">
        <v>364</v>
      </c>
      <c r="C39" s="225">
        <f>C36+(C37)*C38</f>
        <v>0.10639999999999999</v>
      </c>
      <c r="D39"/>
      <c r="E39"/>
      <c r="F39"/>
      <c r="G39"/>
      <c r="H39"/>
      <c r="I39"/>
      <c r="J39"/>
      <c r="K39"/>
      <c r="L39"/>
    </row>
    <row r="40" spans="1:12" ht="14.4" customHeight="1" x14ac:dyDescent="0.3">
      <c r="B40" s="119" t="s">
        <v>366</v>
      </c>
      <c r="C40" s="130">
        <v>0.7</v>
      </c>
    </row>
    <row r="42" spans="1:12" ht="14.4" customHeight="1" x14ac:dyDescent="0.3">
      <c r="B42" s="61" t="s">
        <v>365</v>
      </c>
      <c r="C42" s="225">
        <v>0.12</v>
      </c>
      <c r="K42" s="201"/>
    </row>
    <row r="43" spans="1:12" ht="14.4" customHeight="1" x14ac:dyDescent="0.3">
      <c r="B43" s="119" t="s">
        <v>367</v>
      </c>
      <c r="C43" s="130">
        <v>0.3</v>
      </c>
    </row>
    <row r="45" spans="1:12" ht="14.4" customHeight="1" thickBot="1" x14ac:dyDescent="0.35">
      <c r="B45" s="164" t="s">
        <v>360</v>
      </c>
      <c r="C45" s="226">
        <f>C39*C40+C42*C43</f>
        <v>0.11047999999999999</v>
      </c>
    </row>
    <row r="47" spans="1:12" ht="18" customHeight="1" x14ac:dyDescent="0.35">
      <c r="A47" s="44" t="s">
        <v>52</v>
      </c>
      <c r="B47" s="76" t="s">
        <v>368</v>
      </c>
      <c r="C47" s="76"/>
      <c r="D47" s="168"/>
      <c r="E47" s="169"/>
      <c r="F47" s="169"/>
      <c r="G47" s="169"/>
      <c r="H47" s="169"/>
      <c r="I47" s="169"/>
      <c r="J47" s="169"/>
    </row>
    <row r="49" spans="1:10" ht="14.4" customHeight="1" x14ac:dyDescent="0.3">
      <c r="B49" t="s">
        <v>369</v>
      </c>
      <c r="C49" s="142">
        <v>0.04</v>
      </c>
    </row>
    <row r="50" spans="1:10" ht="14.4" customHeight="1" x14ac:dyDescent="0.3">
      <c r="B50" t="s">
        <v>370</v>
      </c>
      <c r="C50" s="71">
        <f>J32*(1+C49)</f>
        <v>5956.6992087999697</v>
      </c>
    </row>
    <row r="51" spans="1:10" ht="14.4" customHeight="1" x14ac:dyDescent="0.3">
      <c r="B51" s="61" t="s">
        <v>371</v>
      </c>
      <c r="C51" s="66">
        <f>C50/(C45-C49)</f>
        <v>84516.163575481987</v>
      </c>
    </row>
    <row r="52" spans="1:10" ht="14.4" customHeight="1" x14ac:dyDescent="0.3">
      <c r="B52" t="s">
        <v>372</v>
      </c>
      <c r="C52" s="90">
        <f>C51*J30</f>
        <v>52740.159579935687</v>
      </c>
    </row>
    <row r="53" spans="1:10" ht="14.4" customHeight="1" x14ac:dyDescent="0.3">
      <c r="B53" t="s">
        <v>373</v>
      </c>
      <c r="C53" s="90">
        <f>SUM(F32:J32)</f>
        <v>22999.757309585431</v>
      </c>
    </row>
    <row r="54" spans="1:10" ht="14.4" customHeight="1" x14ac:dyDescent="0.3">
      <c r="B54" s="61" t="s">
        <v>374</v>
      </c>
      <c r="C54" s="66">
        <f>SUM(C52:C53)</f>
        <v>75739.916889521119</v>
      </c>
    </row>
    <row r="55" spans="1:10" ht="14.4" customHeight="1" x14ac:dyDescent="0.3">
      <c r="B55" s="119" t="s">
        <v>375</v>
      </c>
      <c r="C55" s="228">
        <f>C54/J13</f>
        <v>3.5142469109852255</v>
      </c>
    </row>
    <row r="56" spans="1:10" ht="14.4" customHeight="1" x14ac:dyDescent="0.3">
      <c r="B56" s="119" t="s">
        <v>376</v>
      </c>
      <c r="C56" s="228">
        <f>C54/'3 Statement Model'!F24</f>
        <v>7.9477131914513999</v>
      </c>
    </row>
    <row r="57" spans="1:10" ht="14.4" customHeight="1" x14ac:dyDescent="0.3">
      <c r="B57" s="59" t="s">
        <v>377</v>
      </c>
      <c r="C57" s="227">
        <f>SUM('3 Statement Model'!F71:F72)*-1</f>
        <v>-6193.5999999999995</v>
      </c>
    </row>
    <row r="58" spans="1:10" ht="14.4" customHeight="1" x14ac:dyDescent="0.3">
      <c r="B58" s="59" t="s">
        <v>378</v>
      </c>
      <c r="C58" s="227">
        <f>'3 Statement Model'!F49*-1</f>
        <v>-2181.2644</v>
      </c>
    </row>
    <row r="59" spans="1:10" ht="14.4" customHeight="1" x14ac:dyDescent="0.3">
      <c r="B59" s="61" t="s">
        <v>379</v>
      </c>
      <c r="C59" s="66">
        <f>C54+C57+C58</f>
        <v>67365.052489521113</v>
      </c>
    </row>
    <row r="61" spans="1:10" ht="18" customHeight="1" x14ac:dyDescent="0.35">
      <c r="A61" s="44" t="s">
        <v>52</v>
      </c>
      <c r="B61" s="76" t="s">
        <v>380</v>
      </c>
      <c r="C61" s="76"/>
      <c r="D61" s="168"/>
      <c r="E61" s="169"/>
      <c r="F61" s="169"/>
      <c r="G61" s="169"/>
      <c r="H61" s="169"/>
      <c r="I61" s="169"/>
      <c r="J61" s="169"/>
    </row>
    <row r="63" spans="1:10" ht="14.4" customHeight="1" x14ac:dyDescent="0.3">
      <c r="B63" t="s">
        <v>381</v>
      </c>
      <c r="C63" s="228">
        <v>4</v>
      </c>
    </row>
    <row r="64" spans="1:10" ht="14.4" customHeight="1" x14ac:dyDescent="0.3">
      <c r="B64" t="s">
        <v>382</v>
      </c>
      <c r="C64" s="153">
        <f>J13</f>
        <v>21552.246842065884</v>
      </c>
    </row>
    <row r="65" spans="1:10" ht="14.4" customHeight="1" x14ac:dyDescent="0.3">
      <c r="B65" s="61" t="s">
        <v>371</v>
      </c>
      <c r="C65" s="66">
        <f>C64*C63</f>
        <v>86208.987368263537</v>
      </c>
    </row>
    <row r="66" spans="1:10" ht="14.4" customHeight="1" x14ac:dyDescent="0.3">
      <c r="B66" t="s">
        <v>372</v>
      </c>
      <c r="C66" s="90">
        <f>C65*J30</f>
        <v>53796.523158155549</v>
      </c>
    </row>
    <row r="67" spans="1:10" ht="14.4" customHeight="1" x14ac:dyDescent="0.3">
      <c r="B67" t="s">
        <v>373</v>
      </c>
      <c r="C67" s="90">
        <f>SUM(F32:J32)</f>
        <v>22999.757309585431</v>
      </c>
    </row>
    <row r="68" spans="1:10" ht="14.4" customHeight="1" x14ac:dyDescent="0.3">
      <c r="B68" s="61" t="s">
        <v>374</v>
      </c>
      <c r="C68" s="66">
        <f>SUM(C66:C67)</f>
        <v>76796.280467740988</v>
      </c>
    </row>
    <row r="69" spans="1:10" ht="14.4" customHeight="1" x14ac:dyDescent="0.3">
      <c r="B69" s="119" t="s">
        <v>375</v>
      </c>
      <c r="C69" s="228">
        <f>C68/J13</f>
        <v>3.563260992252987</v>
      </c>
    </row>
    <row r="70" spans="1:10" ht="14.4" customHeight="1" x14ac:dyDescent="0.3">
      <c r="B70" s="119" t="s">
        <v>376</v>
      </c>
      <c r="C70" s="228">
        <f>C68/'3 Statement Model'!F24</f>
        <v>8.0585619366095607</v>
      </c>
    </row>
    <row r="71" spans="1:10" ht="14.4" customHeight="1" x14ac:dyDescent="0.3">
      <c r="B71" s="59" t="s">
        <v>377</v>
      </c>
      <c r="C71" s="227">
        <f>C57</f>
        <v>-6193.5999999999995</v>
      </c>
    </row>
    <row r="72" spans="1:10" ht="14.4" customHeight="1" x14ac:dyDescent="0.3">
      <c r="B72" s="59" t="s">
        <v>378</v>
      </c>
      <c r="C72" s="227">
        <f>C58</f>
        <v>-2181.2644</v>
      </c>
    </row>
    <row r="73" spans="1:10" ht="14.4" customHeight="1" x14ac:dyDescent="0.3">
      <c r="B73" s="61" t="s">
        <v>379</v>
      </c>
      <c r="C73" s="66">
        <f>C68+C71+C72</f>
        <v>68421.416067740982</v>
      </c>
    </row>
    <row r="75" spans="1:10" ht="18" customHeight="1" x14ac:dyDescent="0.35">
      <c r="A75" s="44" t="s">
        <v>52</v>
      </c>
      <c r="B75" s="76" t="s">
        <v>386</v>
      </c>
      <c r="C75" s="76"/>
      <c r="D75" s="168"/>
      <c r="E75" s="169"/>
      <c r="F75" s="169"/>
      <c r="G75" s="169"/>
      <c r="H75" s="169"/>
      <c r="I75" s="169"/>
      <c r="J75" s="169"/>
    </row>
    <row r="77" spans="1:10" ht="14.4" customHeight="1" x14ac:dyDescent="0.3">
      <c r="E77" s="239" t="s">
        <v>384</v>
      </c>
      <c r="F77" s="239"/>
      <c r="G77" s="239"/>
      <c r="H77" s="239"/>
      <c r="I77" s="239"/>
      <c r="J77" s="239"/>
    </row>
    <row r="78" spans="1:10" ht="14.4" customHeight="1" x14ac:dyDescent="0.3">
      <c r="D78" s="230">
        <f>C59</f>
        <v>67365.052489521113</v>
      </c>
      <c r="E78" s="229">
        <v>0.02</v>
      </c>
      <c r="F78" s="229">
        <f>E78+1%</f>
        <v>0.03</v>
      </c>
      <c r="G78" s="229">
        <f t="shared" ref="G78:J78" si="9">F78+1%</f>
        <v>0.04</v>
      </c>
      <c r="H78" s="229">
        <f t="shared" si="9"/>
        <v>0.05</v>
      </c>
      <c r="I78" s="229">
        <f t="shared" si="9"/>
        <v>6.0000000000000005E-2</v>
      </c>
      <c r="J78" s="229">
        <f t="shared" si="9"/>
        <v>7.0000000000000007E-2</v>
      </c>
    </row>
    <row r="79" spans="1:10" ht="14.4" customHeight="1" x14ac:dyDescent="0.3">
      <c r="C79" s="238" t="s">
        <v>383</v>
      </c>
      <c r="D79" s="229">
        <v>0.08</v>
      </c>
      <c r="E79" s="90">
        <f t="dataTable" ref="E79:J84" dt2D="1" dtr="1" r1="C49" r2="C45" ca="1"/>
        <v>94529.584773547773</v>
      </c>
      <c r="F79" s="90">
        <v>111059.07149468693</v>
      </c>
      <c r="G79" s="90">
        <v>135853.30157639569</v>
      </c>
      <c r="H79" s="90">
        <v>177177.01837924361</v>
      </c>
      <c r="I79" s="90">
        <v>259824.45198493946</v>
      </c>
      <c r="J79" s="90">
        <v>507766.75280202727</v>
      </c>
    </row>
    <row r="80" spans="1:10" ht="14.4" customHeight="1" x14ac:dyDescent="0.3">
      <c r="C80" s="238"/>
      <c r="D80" s="229">
        <f>D79+1%</f>
        <v>0.09</v>
      </c>
      <c r="E80" s="90">
        <v>77420.811475136041</v>
      </c>
      <c r="F80" s="90">
        <v>88388.355657571199</v>
      </c>
      <c r="G80" s="90">
        <v>103742.91751298044</v>
      </c>
      <c r="H80" s="90">
        <v>126774.7602960943</v>
      </c>
      <c r="I80" s="90">
        <v>165161.16493461741</v>
      </c>
      <c r="J80" s="90">
        <v>241933.97421166371</v>
      </c>
    </row>
    <row r="81" spans="1:10" ht="14.4" customHeight="1" x14ac:dyDescent="0.3">
      <c r="C81" s="238"/>
      <c r="D81" s="229">
        <f t="shared" ref="D81:D84" si="10">D80+1%</f>
        <v>9.9999999999999992E-2</v>
      </c>
      <c r="E81" s="90">
        <v>64865.145665005126</v>
      </c>
      <c r="F81" s="90">
        <v>72511.266520970574</v>
      </c>
      <c r="G81" s="90">
        <v>82706.094328924548</v>
      </c>
      <c r="H81" s="90">
        <v>96978.853260060088</v>
      </c>
      <c r="I81" s="90">
        <v>118387.99165676339</v>
      </c>
      <c r="J81" s="90">
        <v>154069.88898460229</v>
      </c>
    </row>
    <row r="82" spans="1:10" ht="14.4" customHeight="1" x14ac:dyDescent="0.3">
      <c r="C82" s="238"/>
      <c r="D82" s="229">
        <v>0.1105</v>
      </c>
      <c r="E82" s="90">
        <v>54900.574998108241</v>
      </c>
      <c r="F82" s="90">
        <v>60347.82996935775</v>
      </c>
      <c r="G82" s="232">
        <v>67340.405499826971</v>
      </c>
      <c r="H82" s="90">
        <v>76644.576246980243</v>
      </c>
      <c r="I82" s="90">
        <v>89633.567092016034</v>
      </c>
      <c r="J82" s="90">
        <v>109036.8744037361</v>
      </c>
    </row>
    <row r="83" spans="1:10" ht="14.4" customHeight="1" x14ac:dyDescent="0.3">
      <c r="C83" s="238"/>
      <c r="D83" s="229">
        <f t="shared" si="10"/>
        <v>0.1205</v>
      </c>
      <c r="E83" s="90">
        <v>47523.006443401406</v>
      </c>
      <c r="F83" s="90">
        <v>51584.269668722816</v>
      </c>
      <c r="G83" s="90">
        <v>56654.542391018498</v>
      </c>
      <c r="H83" s="90">
        <v>63163.190353681748</v>
      </c>
      <c r="I83" s="90">
        <v>71823.457477555974</v>
      </c>
      <c r="J83" s="90">
        <v>83913.533363360606</v>
      </c>
    </row>
    <row r="84" spans="1:10" ht="14.4" customHeight="1" x14ac:dyDescent="0.3">
      <c r="C84" s="238"/>
      <c r="D84" s="229">
        <f t="shared" si="10"/>
        <v>0.1305</v>
      </c>
      <c r="E84" s="90">
        <v>41619.652603082744</v>
      </c>
      <c r="F84" s="90">
        <v>44717.626779497376</v>
      </c>
      <c r="G84" s="90">
        <v>48500.236133020218</v>
      </c>
      <c r="H84" s="90">
        <v>53222.624207915193</v>
      </c>
      <c r="I84" s="90">
        <v>59284.696843064048</v>
      </c>
      <c r="J84" s="90">
        <v>67350.760431981136</v>
      </c>
    </row>
    <row r="86" spans="1:10" ht="18" customHeight="1" x14ac:dyDescent="0.35">
      <c r="A86" s="44" t="s">
        <v>52</v>
      </c>
      <c r="B86" s="76" t="s">
        <v>385</v>
      </c>
      <c r="C86" s="76"/>
      <c r="D86" s="168"/>
      <c r="E86" s="169"/>
      <c r="F86" s="169"/>
      <c r="G86" s="169"/>
      <c r="H86" s="169"/>
      <c r="I86" s="169"/>
      <c r="J86" s="169"/>
    </row>
    <row r="88" spans="1:10" ht="14.4" customHeight="1" x14ac:dyDescent="0.3">
      <c r="E88" s="239" t="s">
        <v>381</v>
      </c>
      <c r="F88" s="239"/>
      <c r="G88" s="239"/>
      <c r="H88" s="239"/>
      <c r="I88" s="239"/>
      <c r="J88" s="239"/>
    </row>
    <row r="89" spans="1:10" ht="14.4" customHeight="1" x14ac:dyDescent="0.3">
      <c r="C89" s="238" t="s">
        <v>383</v>
      </c>
      <c r="D89" s="230">
        <f>C73</f>
        <v>68421.416067740982</v>
      </c>
      <c r="E89" s="231">
        <v>2</v>
      </c>
      <c r="F89" s="231">
        <f>E89+1</f>
        <v>3</v>
      </c>
      <c r="G89" s="231">
        <f t="shared" ref="G89:J89" si="11">F89+1</f>
        <v>4</v>
      </c>
      <c r="H89" s="231">
        <f t="shared" si="11"/>
        <v>5</v>
      </c>
      <c r="I89" s="231">
        <f t="shared" si="11"/>
        <v>6</v>
      </c>
      <c r="J89" s="231">
        <f t="shared" si="11"/>
        <v>7</v>
      </c>
    </row>
    <row r="90" spans="1:10" ht="14.4" customHeight="1" x14ac:dyDescent="0.3">
      <c r="C90" s="238"/>
      <c r="D90" s="229">
        <v>0.08</v>
      </c>
      <c r="E90" s="90">
        <f t="dataTable" ref="E90:J95" dt2D="1" dtr="1" r1="C63" r2="C45"/>
        <v>46960.742484975075</v>
      </c>
      <c r="F90" s="90">
        <v>62204.27609893398</v>
      </c>
      <c r="G90" s="90">
        <v>77447.809712892878</v>
      </c>
      <c r="H90" s="90">
        <v>92691.343326851784</v>
      </c>
      <c r="I90" s="90">
        <v>107934.87694081069</v>
      </c>
      <c r="J90" s="90">
        <v>123178.41055476958</v>
      </c>
    </row>
    <row r="91" spans="1:10" ht="14.4" customHeight="1" x14ac:dyDescent="0.3">
      <c r="C91" s="238"/>
      <c r="D91" s="229">
        <f>D90+1%</f>
        <v>0.09</v>
      </c>
      <c r="E91" s="90">
        <v>45090.052985442562</v>
      </c>
      <c r="F91" s="90">
        <v>59714.293188533084</v>
      </c>
      <c r="G91" s="90">
        <v>74338.533391623598</v>
      </c>
      <c r="H91" s="90">
        <v>88962.773594714134</v>
      </c>
      <c r="I91" s="90">
        <v>103587.01379780466</v>
      </c>
      <c r="J91" s="90">
        <v>118211.25400089518</v>
      </c>
    </row>
    <row r="92" spans="1:10" ht="14.4" customHeight="1" x14ac:dyDescent="0.3">
      <c r="C92" s="238"/>
      <c r="D92" s="229">
        <f t="shared" ref="D92:D95" si="12">D91+1%</f>
        <v>9.9999999999999992E-2</v>
      </c>
      <c r="E92" s="90">
        <v>43305.713919128277</v>
      </c>
      <c r="F92" s="90">
        <v>57341.135733277762</v>
      </c>
      <c r="G92" s="90">
        <v>71376.557547427248</v>
      </c>
      <c r="H92" s="90">
        <v>85411.979361576741</v>
      </c>
      <c r="I92" s="90">
        <v>99447.401175726234</v>
      </c>
      <c r="J92" s="90">
        <v>113482.82298987573</v>
      </c>
    </row>
    <row r="93" spans="1:10" ht="14.4" customHeight="1" x14ac:dyDescent="0.3">
      <c r="C93" s="238"/>
      <c r="D93" s="229">
        <v>0.1105</v>
      </c>
      <c r="E93" s="90">
        <v>41519.834923719573</v>
      </c>
      <c r="F93" s="90">
        <v>54967.87576852872</v>
      </c>
      <c r="G93" s="232">
        <v>68415.91661333786</v>
      </c>
      <c r="H93" s="90">
        <v>81863.957458147022</v>
      </c>
      <c r="I93" s="90">
        <v>95311.99830295617</v>
      </c>
      <c r="J93" s="90">
        <v>108760.03914776532</v>
      </c>
    </row>
    <row r="94" spans="1:10" ht="14.4" customHeight="1" x14ac:dyDescent="0.3">
      <c r="C94" s="238"/>
      <c r="D94" s="229">
        <f t="shared" si="12"/>
        <v>0.1205</v>
      </c>
      <c r="E94" s="90">
        <v>39897.819276413393</v>
      </c>
      <c r="F94" s="90">
        <v>52814.150651840391</v>
      </c>
      <c r="G94" s="90">
        <v>65730.482027267382</v>
      </c>
      <c r="H94" s="90">
        <v>78646.813402694388</v>
      </c>
      <c r="I94" s="90">
        <v>91563.144778121379</v>
      </c>
      <c r="J94" s="90">
        <v>104479.47615354838</v>
      </c>
    </row>
    <row r="95" spans="1:10" ht="14.4" customHeight="1" x14ac:dyDescent="0.3">
      <c r="D95" s="229">
        <f t="shared" si="12"/>
        <v>0.1305</v>
      </c>
      <c r="E95" s="90">
        <v>38348.431740789601</v>
      </c>
      <c r="F95" s="90">
        <v>50758.523778650728</v>
      </c>
      <c r="G95" s="90">
        <v>63168.615816511847</v>
      </c>
      <c r="H95" s="90">
        <v>75578.707854372973</v>
      </c>
      <c r="I95" s="90">
        <v>87988.799892234092</v>
      </c>
      <c r="J95" s="90">
        <v>100398.89193009523</v>
      </c>
    </row>
  </sheetData>
  <mergeCells count="5">
    <mergeCell ref="F8:J8"/>
    <mergeCell ref="C79:C84"/>
    <mergeCell ref="E77:J77"/>
    <mergeCell ref="C89:C94"/>
    <mergeCell ref="E88:J88"/>
  </mergeCells>
  <dataValidations count="1">
    <dataValidation type="list" allowBlank="1" showInputMessage="1" showErrorMessage="1" sqref="D28" xr:uid="{74114884-F74E-41E6-852F-A349730058A8}">
      <formula1>$N$3:$N$4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913" r:id="rId4" name="Drop Down 1">
              <controlPr defaultSize="0" autoLine="0" autoPict="0">
                <anchor moveWithCells="1">
                  <from>
                    <xdr:col>5</xdr:col>
                    <xdr:colOff>38100</xdr:colOff>
                    <xdr:row>2</xdr:row>
                    <xdr:rowOff>198120</xdr:rowOff>
                  </from>
                  <to>
                    <xdr:col>6</xdr:col>
                    <xdr:colOff>373380</xdr:colOff>
                    <xdr:row>4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F327-AD31-4AA0-B7BE-6BDB4B8079F7}">
  <sheetPr>
    <tabColor rgb="FFFF0000"/>
  </sheetPr>
  <dimension ref="H18"/>
  <sheetViews>
    <sheetView workbookViewId="0">
      <selection activeCell="G21" sqref="G21"/>
    </sheetView>
  </sheetViews>
  <sheetFormatPr defaultRowHeight="14.4" x14ac:dyDescent="0.3"/>
  <sheetData>
    <row r="18" spans="8:8" x14ac:dyDescent="0.3">
      <c r="H18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1231-EC8E-4368-84A7-6CAAE8FBC438}">
  <sheetPr>
    <tabColor rgb="FFFF0000"/>
  </sheetPr>
  <dimension ref="A1:K214"/>
  <sheetViews>
    <sheetView showGridLines="0" topLeftCell="B1" zoomScale="130" zoomScaleNormal="130" zoomScaleSheetLayoutView="115" workbookViewId="0">
      <pane ySplit="6" topLeftCell="A7" activePane="bottomLeft" state="frozen"/>
      <selection activeCell="I10" sqref="I10"/>
      <selection pane="bottomLeft" activeCell="H14" sqref="H14"/>
    </sheetView>
  </sheetViews>
  <sheetFormatPr defaultColWidth="7.5546875" defaultRowHeight="13.8" x14ac:dyDescent="0.3"/>
  <cols>
    <col min="1" max="1" width="2.33203125" style="4" customWidth="1"/>
    <col min="2" max="2" width="38.109375" style="4" bestFit="1" customWidth="1"/>
    <col min="3" max="17" width="14.109375" style="4" customWidth="1"/>
    <col min="18" max="16384" width="7.5546875" style="4"/>
  </cols>
  <sheetData>
    <row r="1" spans="1:11" ht="14.4" x14ac:dyDescent="0.3">
      <c r="A1" s="1"/>
      <c r="B1" s="2"/>
      <c r="C1" s="2"/>
      <c r="D1" s="1"/>
      <c r="E1" s="1"/>
      <c r="F1" s="1"/>
      <c r="G1" s="1"/>
      <c r="H1" s="3"/>
    </row>
    <row r="2" spans="1:11" ht="14.4" x14ac:dyDescent="0.3">
      <c r="A2" s="1"/>
      <c r="B2" s="5" t="s">
        <v>0</v>
      </c>
      <c r="C2" s="2"/>
      <c r="D2" s="6"/>
      <c r="E2" s="2"/>
      <c r="F2" s="2"/>
      <c r="G2" s="1"/>
      <c r="H2" s="3"/>
    </row>
    <row r="3" spans="1:11" ht="14.4" x14ac:dyDescent="0.3">
      <c r="A3" s="1"/>
      <c r="B3" s="2" t="s">
        <v>1</v>
      </c>
      <c r="C3" s="2"/>
      <c r="D3" s="1"/>
      <c r="E3" s="1"/>
      <c r="F3" s="1"/>
      <c r="G3" s="1"/>
      <c r="H3" s="3"/>
    </row>
    <row r="4" spans="1:11" ht="14.4" x14ac:dyDescent="0.3">
      <c r="A4" s="1"/>
      <c r="B4" s="7"/>
      <c r="C4" s="2"/>
      <c r="D4" s="1"/>
      <c r="E4" s="1"/>
      <c r="F4" s="8"/>
      <c r="G4" s="8"/>
      <c r="H4" s="3"/>
    </row>
    <row r="5" spans="1:11" ht="14.4" x14ac:dyDescent="0.3">
      <c r="A5" s="1"/>
      <c r="B5" s="9"/>
      <c r="C5" s="2"/>
      <c r="D5" s="1"/>
      <c r="E5" s="1"/>
      <c r="F5" s="10"/>
      <c r="G5" s="10"/>
      <c r="H5" s="3"/>
    </row>
    <row r="6" spans="1:11" ht="14.4" x14ac:dyDescent="0.3">
      <c r="A6" s="1"/>
      <c r="B6" s="7" t="s">
        <v>2</v>
      </c>
      <c r="C6" s="11"/>
      <c r="D6" s="12"/>
      <c r="E6" s="13">
        <v>2021</v>
      </c>
      <c r="F6" s="13">
        <v>2022</v>
      </c>
      <c r="G6" s="13">
        <v>2023</v>
      </c>
      <c r="H6" s="3"/>
    </row>
    <row r="8" spans="1:11" x14ac:dyDescent="0.3">
      <c r="A8" s="3"/>
      <c r="B8" s="14" t="s">
        <v>200</v>
      </c>
      <c r="C8" s="15"/>
      <c r="D8" s="3"/>
      <c r="E8" s="3">
        <v>47325.572</v>
      </c>
      <c r="F8" s="3">
        <v>52562.985999999997</v>
      </c>
      <c r="G8" s="3">
        <v>58055.611599999997</v>
      </c>
      <c r="H8" s="3"/>
    </row>
    <row r="9" spans="1:11" x14ac:dyDescent="0.3">
      <c r="B9" s="16" t="s">
        <v>4</v>
      </c>
      <c r="C9" s="17"/>
      <c r="D9" s="18"/>
      <c r="E9" s="19">
        <v>-24230.696</v>
      </c>
      <c r="F9" s="19">
        <v>-26556.941599999998</v>
      </c>
      <c r="G9" s="19">
        <v>-28130.3904</v>
      </c>
    </row>
    <row r="10" spans="1:11" x14ac:dyDescent="0.3">
      <c r="B10" s="20" t="s">
        <v>5</v>
      </c>
      <c r="C10" s="21"/>
      <c r="D10" s="22"/>
      <c r="E10" s="23">
        <f>SUM(E8:E9)</f>
        <v>23094.876</v>
      </c>
      <c r="F10" s="23">
        <f>SUM(F8:F9)</f>
        <v>26006.044399999999</v>
      </c>
      <c r="G10" s="23">
        <f>SUM(G8:G9)</f>
        <v>29925.221199999996</v>
      </c>
    </row>
    <row r="11" spans="1:11" x14ac:dyDescent="0.3">
      <c r="B11" s="15"/>
      <c r="D11" s="24"/>
      <c r="E11" s="25"/>
      <c r="F11" s="25"/>
      <c r="G11" s="25"/>
    </row>
    <row r="12" spans="1:11" x14ac:dyDescent="0.3">
      <c r="B12" s="26" t="s">
        <v>6</v>
      </c>
      <c r="D12" s="24"/>
      <c r="E12" s="27"/>
      <c r="F12" s="27"/>
      <c r="G12" s="27"/>
    </row>
    <row r="13" spans="1:11" x14ac:dyDescent="0.3">
      <c r="B13" s="28" t="s">
        <v>7</v>
      </c>
      <c r="D13" s="24"/>
      <c r="E13" s="27">
        <v>-285.27800000000002</v>
      </c>
      <c r="F13" s="27">
        <v>-314.77600000000001</v>
      </c>
      <c r="G13" s="27">
        <v>-347.66479999999996</v>
      </c>
    </row>
    <row r="14" spans="1:11" x14ac:dyDescent="0.3">
      <c r="B14" s="28" t="s">
        <v>8</v>
      </c>
      <c r="D14" s="24"/>
      <c r="E14" s="27">
        <v>-716.08600000000001</v>
      </c>
      <c r="F14" s="27">
        <v>-735.86239999999998</v>
      </c>
      <c r="G14" s="27">
        <v>-783.37279999999998</v>
      </c>
      <c r="I14" s="3"/>
      <c r="J14" s="3"/>
    </row>
    <row r="15" spans="1:11" x14ac:dyDescent="0.3">
      <c r="B15" s="28" t="s">
        <v>9</v>
      </c>
      <c r="D15" s="24"/>
      <c r="E15" s="27">
        <v>-294.41160000000002</v>
      </c>
      <c r="F15" s="27">
        <v>-268.95119999999997</v>
      </c>
      <c r="G15" s="27">
        <v>-232.2208</v>
      </c>
    </row>
    <row r="16" spans="1:11" x14ac:dyDescent="0.3">
      <c r="B16" s="28" t="s">
        <v>10</v>
      </c>
      <c r="D16" s="24"/>
      <c r="E16" s="27">
        <v>-2602.8995999999997</v>
      </c>
      <c r="F16" s="27">
        <v>-2733.2592</v>
      </c>
      <c r="G16" s="27">
        <v>-2902.7795999999998</v>
      </c>
      <c r="H16" s="27"/>
      <c r="I16" s="29"/>
      <c r="J16" s="29"/>
      <c r="K16" s="29"/>
    </row>
    <row r="17" spans="2:11" x14ac:dyDescent="0.3">
      <c r="B17" s="28" t="s">
        <v>242</v>
      </c>
      <c r="D17" s="24"/>
      <c r="E17" s="27">
        <v>-336.92399999999998</v>
      </c>
      <c r="F17" s="27">
        <v>-307.81800000000004</v>
      </c>
      <c r="G17" s="27">
        <v>-278.71199999999999</v>
      </c>
    </row>
    <row r="18" spans="2:11" x14ac:dyDescent="0.3">
      <c r="B18" s="30" t="s">
        <v>11</v>
      </c>
      <c r="D18" s="24"/>
      <c r="E18" s="27">
        <v>-1183.1343999999999</v>
      </c>
      <c r="F18" s="27">
        <v>-1314.0624</v>
      </c>
      <c r="G18" s="27">
        <v>-1451.3799999999999</v>
      </c>
    </row>
    <row r="19" spans="2:11" x14ac:dyDescent="0.3">
      <c r="B19" s="28" t="s">
        <v>12</v>
      </c>
      <c r="D19" s="24"/>
      <c r="E19" s="27">
        <v>-1216.9248</v>
      </c>
      <c r="F19" s="27">
        <v>-1261.4952000000001</v>
      </c>
      <c r="G19" s="27">
        <v>-1274</v>
      </c>
    </row>
    <row r="20" spans="2:11" x14ac:dyDescent="0.3">
      <c r="B20" s="28" t="s">
        <v>13</v>
      </c>
      <c r="D20" s="24"/>
      <c r="E20" s="27">
        <v>-7098.8377599999994</v>
      </c>
      <c r="F20" s="27">
        <v>-7884.4332000000004</v>
      </c>
      <c r="G20" s="27">
        <v>-8708.3387999999995</v>
      </c>
    </row>
    <row r="21" spans="2:11" x14ac:dyDescent="0.3">
      <c r="B21" s="16" t="s">
        <v>14</v>
      </c>
      <c r="C21" s="17"/>
      <c r="D21" s="18"/>
      <c r="E21" s="31">
        <v>-4862.2699999999995</v>
      </c>
      <c r="F21" s="31">
        <v>-5151.1543999999994</v>
      </c>
      <c r="G21" s="31">
        <v>-5711.2831999999999</v>
      </c>
      <c r="I21" s="29"/>
      <c r="J21" s="29"/>
      <c r="K21" s="29"/>
    </row>
    <row r="22" spans="2:11" x14ac:dyDescent="0.3">
      <c r="B22" s="32" t="s">
        <v>15</v>
      </c>
      <c r="D22" s="24"/>
      <c r="E22" s="33">
        <f>SUM(E13:E21)</f>
        <v>-18596.766159999999</v>
      </c>
      <c r="F22" s="33">
        <f>SUM(F13:F21)</f>
        <v>-19971.811999999998</v>
      </c>
      <c r="G22" s="33">
        <f>SUM(G13:G21)</f>
        <v>-21689.752</v>
      </c>
    </row>
    <row r="23" spans="2:11" x14ac:dyDescent="0.3">
      <c r="B23" s="28"/>
      <c r="D23" s="24"/>
      <c r="E23" s="34"/>
      <c r="F23" s="34"/>
      <c r="G23" s="34"/>
    </row>
    <row r="24" spans="2:11" x14ac:dyDescent="0.3">
      <c r="B24" s="20" t="s">
        <v>16</v>
      </c>
      <c r="C24" s="21"/>
      <c r="D24" s="22"/>
      <c r="E24" s="23">
        <f>E10+E22</f>
        <v>4498.109840000001</v>
      </c>
      <c r="F24" s="23">
        <f>F10+F22</f>
        <v>6034.2324000000008</v>
      </c>
      <c r="G24" s="23">
        <f>G10+G22</f>
        <v>8235.4691999999959</v>
      </c>
    </row>
    <row r="25" spans="2:11" x14ac:dyDescent="0.3">
      <c r="B25" s="15"/>
      <c r="D25" s="24"/>
      <c r="E25" s="27"/>
      <c r="F25" s="27"/>
      <c r="G25" s="27"/>
    </row>
    <row r="26" spans="2:11" x14ac:dyDescent="0.3">
      <c r="B26" s="16" t="s">
        <v>17</v>
      </c>
      <c r="C26" s="17"/>
      <c r="D26" s="18"/>
      <c r="E26" s="31">
        <f>E24*-0.2015</f>
        <v>-906.3691327600003</v>
      </c>
      <c r="F26" s="31">
        <f t="shared" ref="F26:G26" si="0">F24*-0.2015</f>
        <v>-1215.8978286000001</v>
      </c>
      <c r="G26" s="31">
        <f t="shared" si="0"/>
        <v>-1659.4470437999992</v>
      </c>
    </row>
    <row r="27" spans="2:11" ht="14.4" thickBot="1" x14ac:dyDescent="0.35">
      <c r="B27" s="35" t="s">
        <v>18</v>
      </c>
      <c r="C27" s="36"/>
      <c r="D27" s="37"/>
      <c r="E27" s="38">
        <f>SUM(E24:E26)</f>
        <v>3591.7407072400006</v>
      </c>
      <c r="F27" s="38">
        <f>SUM(F24:F26)</f>
        <v>4818.3345714000006</v>
      </c>
      <c r="G27" s="38">
        <f>SUM(G24:G26)</f>
        <v>6576.022156199997</v>
      </c>
    </row>
    <row r="28" spans="2:11" x14ac:dyDescent="0.3">
      <c r="B28" s="15"/>
      <c r="D28" s="24"/>
      <c r="E28" s="25"/>
      <c r="F28" s="25"/>
      <c r="G28" s="25"/>
    </row>
    <row r="29" spans="2:11" x14ac:dyDescent="0.3">
      <c r="B29" s="15"/>
      <c r="D29" s="24"/>
      <c r="E29" s="39"/>
      <c r="F29" s="39"/>
      <c r="G29" s="39"/>
    </row>
    <row r="30" spans="2:11" x14ac:dyDescent="0.3">
      <c r="B30" s="15"/>
      <c r="D30" s="24"/>
      <c r="E30" s="39"/>
      <c r="F30" s="39"/>
      <c r="G30" s="39"/>
    </row>
    <row r="31" spans="2:11" x14ac:dyDescent="0.3">
      <c r="B31" s="15"/>
      <c r="D31" s="24"/>
      <c r="E31" s="27"/>
      <c r="F31" s="27"/>
      <c r="G31" s="27"/>
    </row>
    <row r="32" spans="2:11" x14ac:dyDescent="0.3">
      <c r="B32" s="15"/>
      <c r="D32" s="24"/>
      <c r="E32" s="27"/>
      <c r="F32" s="27"/>
      <c r="G32" s="27"/>
    </row>
    <row r="33" spans="2:7" x14ac:dyDescent="0.3">
      <c r="B33" s="15"/>
      <c r="D33" s="24"/>
      <c r="E33" s="27"/>
      <c r="F33" s="27"/>
      <c r="G33" s="27"/>
    </row>
    <row r="34" spans="2:7" x14ac:dyDescent="0.3">
      <c r="B34" s="15"/>
      <c r="D34" s="24"/>
      <c r="E34" s="27"/>
      <c r="F34" s="27"/>
      <c r="G34" s="27"/>
    </row>
    <row r="35" spans="2:7" x14ac:dyDescent="0.3">
      <c r="B35" s="15"/>
      <c r="D35" s="24"/>
      <c r="E35" s="27"/>
      <c r="F35" s="27"/>
      <c r="G35" s="27"/>
    </row>
    <row r="36" spans="2:7" x14ac:dyDescent="0.3">
      <c r="B36" s="15"/>
      <c r="D36" s="24"/>
      <c r="E36" s="27"/>
      <c r="F36" s="27"/>
      <c r="G36" s="27"/>
    </row>
    <row r="37" spans="2:7" x14ac:dyDescent="0.3">
      <c r="B37" s="15"/>
      <c r="D37" s="24"/>
      <c r="E37" s="27"/>
      <c r="F37" s="27"/>
      <c r="G37" s="27"/>
    </row>
    <row r="38" spans="2:7" x14ac:dyDescent="0.3">
      <c r="B38" s="15"/>
      <c r="D38" s="24"/>
      <c r="E38" s="27"/>
      <c r="F38" s="27"/>
      <c r="G38" s="27"/>
    </row>
    <row r="39" spans="2:7" x14ac:dyDescent="0.3">
      <c r="D39" s="24"/>
      <c r="E39" s="27"/>
      <c r="F39" s="27"/>
      <c r="G39" s="27"/>
    </row>
    <row r="40" spans="2:7" x14ac:dyDescent="0.3">
      <c r="D40" s="24"/>
      <c r="E40" s="27"/>
      <c r="F40" s="27"/>
      <c r="G40" s="27"/>
    </row>
    <row r="41" spans="2:7" x14ac:dyDescent="0.3">
      <c r="D41" s="24"/>
      <c r="E41" s="27"/>
      <c r="F41" s="27"/>
      <c r="G41" s="27"/>
    </row>
    <row r="42" spans="2:7" x14ac:dyDescent="0.3">
      <c r="D42" s="24"/>
      <c r="E42" s="40"/>
      <c r="F42" s="40"/>
      <c r="G42" s="40"/>
    </row>
    <row r="43" spans="2:7" x14ac:dyDescent="0.3">
      <c r="D43" s="24"/>
      <c r="E43" s="40"/>
      <c r="F43" s="40"/>
      <c r="G43" s="40"/>
    </row>
    <row r="44" spans="2:7" x14ac:dyDescent="0.3">
      <c r="D44" s="24"/>
    </row>
    <row r="45" spans="2:7" x14ac:dyDescent="0.3">
      <c r="D45" s="24"/>
    </row>
    <row r="46" spans="2:7" x14ac:dyDescent="0.3">
      <c r="D46" s="24"/>
    </row>
    <row r="47" spans="2:7" x14ac:dyDescent="0.3">
      <c r="D47" s="24"/>
    </row>
    <row r="48" spans="2:7" x14ac:dyDescent="0.3">
      <c r="D48" s="24"/>
    </row>
    <row r="49" spans="4:4" x14ac:dyDescent="0.3">
      <c r="D49" s="24"/>
    </row>
    <row r="50" spans="4:4" x14ac:dyDescent="0.3">
      <c r="D50" s="24"/>
    </row>
    <row r="51" spans="4:4" x14ac:dyDescent="0.3">
      <c r="D51" s="24"/>
    </row>
    <row r="52" spans="4:4" x14ac:dyDescent="0.3">
      <c r="D52" s="24"/>
    </row>
    <row r="53" spans="4:4" x14ac:dyDescent="0.3">
      <c r="D53" s="24"/>
    </row>
    <row r="54" spans="4:4" x14ac:dyDescent="0.3">
      <c r="D54" s="24"/>
    </row>
    <row r="55" spans="4:4" x14ac:dyDescent="0.3">
      <c r="D55" s="24"/>
    </row>
    <row r="56" spans="4:4" x14ac:dyDescent="0.3">
      <c r="D56" s="24"/>
    </row>
    <row r="57" spans="4:4" x14ac:dyDescent="0.3">
      <c r="D57" s="24"/>
    </row>
    <row r="58" spans="4:4" x14ac:dyDescent="0.3">
      <c r="D58" s="24"/>
    </row>
    <row r="59" spans="4:4" x14ac:dyDescent="0.3">
      <c r="D59" s="24"/>
    </row>
    <row r="60" spans="4:4" x14ac:dyDescent="0.3">
      <c r="D60" s="24"/>
    </row>
    <row r="61" spans="4:4" x14ac:dyDescent="0.3">
      <c r="D61" s="24"/>
    </row>
    <row r="62" spans="4:4" x14ac:dyDescent="0.3">
      <c r="D62" s="24"/>
    </row>
    <row r="63" spans="4:4" x14ac:dyDescent="0.3">
      <c r="D63" s="24"/>
    </row>
    <row r="64" spans="4:4" x14ac:dyDescent="0.3">
      <c r="D64" s="24"/>
    </row>
    <row r="65" spans="4:4" x14ac:dyDescent="0.3">
      <c r="D65" s="24"/>
    </row>
    <row r="66" spans="4:4" x14ac:dyDescent="0.3">
      <c r="D66" s="24"/>
    </row>
    <row r="67" spans="4:4" x14ac:dyDescent="0.3">
      <c r="D67" s="24"/>
    </row>
    <row r="68" spans="4:4" x14ac:dyDescent="0.3">
      <c r="D68" s="24"/>
    </row>
    <row r="69" spans="4:4" x14ac:dyDescent="0.3">
      <c r="D69" s="24"/>
    </row>
    <row r="70" spans="4:4" x14ac:dyDescent="0.3">
      <c r="D70" s="24"/>
    </row>
    <row r="71" spans="4:4" x14ac:dyDescent="0.3">
      <c r="D71" s="24"/>
    </row>
    <row r="72" spans="4:4" x14ac:dyDescent="0.3">
      <c r="D72" s="24"/>
    </row>
    <row r="73" spans="4:4" x14ac:dyDescent="0.3">
      <c r="D73" s="24"/>
    </row>
    <row r="74" spans="4:4" x14ac:dyDescent="0.3">
      <c r="D74" s="24"/>
    </row>
    <row r="75" spans="4:4" x14ac:dyDescent="0.3">
      <c r="D75" s="24"/>
    </row>
    <row r="76" spans="4:4" x14ac:dyDescent="0.3">
      <c r="D76" s="24"/>
    </row>
    <row r="77" spans="4:4" x14ac:dyDescent="0.3">
      <c r="D77" s="24"/>
    </row>
    <row r="78" spans="4:4" x14ac:dyDescent="0.3">
      <c r="D78" s="24"/>
    </row>
    <row r="79" spans="4:4" x14ac:dyDescent="0.3">
      <c r="D79" s="24"/>
    </row>
    <row r="80" spans="4:4" x14ac:dyDescent="0.3">
      <c r="D80" s="24"/>
    </row>
    <row r="81" spans="4:4" x14ac:dyDescent="0.3">
      <c r="D81" s="24"/>
    </row>
    <row r="82" spans="4:4" x14ac:dyDescent="0.3">
      <c r="D82" s="24"/>
    </row>
    <row r="83" spans="4:4" x14ac:dyDescent="0.3">
      <c r="D83" s="24"/>
    </row>
    <row r="84" spans="4:4" x14ac:dyDescent="0.3">
      <c r="D84" s="24"/>
    </row>
    <row r="85" spans="4:4" x14ac:dyDescent="0.3">
      <c r="D85" s="24"/>
    </row>
    <row r="86" spans="4:4" x14ac:dyDescent="0.3">
      <c r="D86" s="24"/>
    </row>
    <row r="87" spans="4:4" x14ac:dyDescent="0.3">
      <c r="D87" s="24"/>
    </row>
    <row r="88" spans="4:4" x14ac:dyDescent="0.3">
      <c r="D88" s="24"/>
    </row>
    <row r="89" spans="4:4" x14ac:dyDescent="0.3">
      <c r="D89" s="24"/>
    </row>
    <row r="90" spans="4:4" x14ac:dyDescent="0.3">
      <c r="D90" s="24"/>
    </row>
    <row r="91" spans="4:4" x14ac:dyDescent="0.3">
      <c r="D91" s="24"/>
    </row>
    <row r="92" spans="4:4" x14ac:dyDescent="0.3">
      <c r="D92" s="24"/>
    </row>
    <row r="93" spans="4:4" x14ac:dyDescent="0.3">
      <c r="D93" s="24"/>
    </row>
    <row r="94" spans="4:4" x14ac:dyDescent="0.3">
      <c r="D94" s="24"/>
    </row>
    <row r="95" spans="4:4" x14ac:dyDescent="0.3">
      <c r="D95" s="24"/>
    </row>
    <row r="96" spans="4:4" x14ac:dyDescent="0.3">
      <c r="D96" s="24"/>
    </row>
    <row r="97" spans="4:4" x14ac:dyDescent="0.3">
      <c r="D97" s="24"/>
    </row>
    <row r="98" spans="4:4" x14ac:dyDescent="0.3">
      <c r="D98" s="24"/>
    </row>
    <row r="99" spans="4:4" x14ac:dyDescent="0.3">
      <c r="D99" s="24"/>
    </row>
    <row r="100" spans="4:4" x14ac:dyDescent="0.3">
      <c r="D100" s="24"/>
    </row>
    <row r="101" spans="4:4" x14ac:dyDescent="0.3">
      <c r="D101" s="24"/>
    </row>
    <row r="102" spans="4:4" x14ac:dyDescent="0.3">
      <c r="D102" s="24"/>
    </row>
    <row r="103" spans="4:4" x14ac:dyDescent="0.3">
      <c r="D103" s="24"/>
    </row>
    <row r="104" spans="4:4" x14ac:dyDescent="0.3">
      <c r="D104" s="24"/>
    </row>
    <row r="105" spans="4:4" x14ac:dyDescent="0.3">
      <c r="D105" s="24"/>
    </row>
    <row r="106" spans="4:4" x14ac:dyDescent="0.3">
      <c r="D106" s="24"/>
    </row>
    <row r="107" spans="4:4" x14ac:dyDescent="0.3">
      <c r="D107" s="24"/>
    </row>
    <row r="108" spans="4:4" x14ac:dyDescent="0.3">
      <c r="D108" s="24"/>
    </row>
    <row r="109" spans="4:4" x14ac:dyDescent="0.3">
      <c r="D109" s="24"/>
    </row>
    <row r="110" spans="4:4" x14ac:dyDescent="0.3">
      <c r="D110" s="24"/>
    </row>
    <row r="111" spans="4:4" x14ac:dyDescent="0.3">
      <c r="D111" s="24"/>
    </row>
    <row r="112" spans="4:4" x14ac:dyDescent="0.3">
      <c r="D112" s="24"/>
    </row>
    <row r="113" spans="4:4" x14ac:dyDescent="0.3">
      <c r="D113" s="24"/>
    </row>
    <row r="114" spans="4:4" x14ac:dyDescent="0.3">
      <c r="D114" s="24"/>
    </row>
    <row r="115" spans="4:4" x14ac:dyDescent="0.3">
      <c r="D115" s="24"/>
    </row>
    <row r="116" spans="4:4" x14ac:dyDescent="0.3">
      <c r="D116" s="24"/>
    </row>
    <row r="117" spans="4:4" x14ac:dyDescent="0.3">
      <c r="D117" s="24"/>
    </row>
    <row r="118" spans="4:4" x14ac:dyDescent="0.3">
      <c r="D118" s="24"/>
    </row>
    <row r="119" spans="4:4" x14ac:dyDescent="0.3">
      <c r="D119" s="24"/>
    </row>
    <row r="120" spans="4:4" x14ac:dyDescent="0.3">
      <c r="D120" s="24"/>
    </row>
    <row r="121" spans="4:4" x14ac:dyDescent="0.3">
      <c r="D121" s="24"/>
    </row>
    <row r="122" spans="4:4" x14ac:dyDescent="0.3">
      <c r="D122" s="24"/>
    </row>
    <row r="123" spans="4:4" x14ac:dyDescent="0.3">
      <c r="D123" s="24"/>
    </row>
    <row r="124" spans="4:4" x14ac:dyDescent="0.3">
      <c r="D124" s="24"/>
    </row>
    <row r="125" spans="4:4" x14ac:dyDescent="0.3">
      <c r="D125" s="24"/>
    </row>
    <row r="126" spans="4:4" x14ac:dyDescent="0.3">
      <c r="D126" s="24"/>
    </row>
    <row r="127" spans="4:4" x14ac:dyDescent="0.3">
      <c r="D127" s="24"/>
    </row>
    <row r="128" spans="4:4" x14ac:dyDescent="0.3">
      <c r="D128" s="24"/>
    </row>
    <row r="129" spans="4:4" x14ac:dyDescent="0.3">
      <c r="D129" s="24"/>
    </row>
    <row r="130" spans="4:4" x14ac:dyDescent="0.3">
      <c r="D130" s="24"/>
    </row>
    <row r="131" spans="4:4" x14ac:dyDescent="0.3">
      <c r="D131" s="24"/>
    </row>
    <row r="132" spans="4:4" x14ac:dyDescent="0.3">
      <c r="D132" s="24"/>
    </row>
    <row r="133" spans="4:4" x14ac:dyDescent="0.3">
      <c r="D133" s="24"/>
    </row>
    <row r="134" spans="4:4" x14ac:dyDescent="0.3">
      <c r="D134" s="24"/>
    </row>
    <row r="135" spans="4:4" x14ac:dyDescent="0.3">
      <c r="D135" s="24"/>
    </row>
    <row r="136" spans="4:4" x14ac:dyDescent="0.3">
      <c r="D136" s="24"/>
    </row>
    <row r="137" spans="4:4" x14ac:dyDescent="0.3">
      <c r="D137" s="24"/>
    </row>
    <row r="138" spans="4:4" x14ac:dyDescent="0.3">
      <c r="D138" s="24"/>
    </row>
    <row r="139" spans="4:4" x14ac:dyDescent="0.3">
      <c r="D139" s="24"/>
    </row>
    <row r="140" spans="4:4" x14ac:dyDescent="0.3">
      <c r="D140" s="24"/>
    </row>
    <row r="141" spans="4:4" x14ac:dyDescent="0.3">
      <c r="D141" s="24"/>
    </row>
    <row r="142" spans="4:4" x14ac:dyDescent="0.3">
      <c r="D142" s="24"/>
    </row>
    <row r="143" spans="4:4" x14ac:dyDescent="0.3">
      <c r="D143" s="24"/>
    </row>
    <row r="144" spans="4:4" x14ac:dyDescent="0.3">
      <c r="D144" s="24"/>
    </row>
    <row r="145" spans="4:4" x14ac:dyDescent="0.3">
      <c r="D145" s="24"/>
    </row>
    <row r="146" spans="4:4" x14ac:dyDescent="0.3">
      <c r="D146" s="24"/>
    </row>
    <row r="147" spans="4:4" x14ac:dyDescent="0.3">
      <c r="D147" s="24"/>
    </row>
    <row r="148" spans="4:4" x14ac:dyDescent="0.3">
      <c r="D148" s="24"/>
    </row>
    <row r="149" spans="4:4" x14ac:dyDescent="0.3">
      <c r="D149" s="24"/>
    </row>
    <row r="150" spans="4:4" x14ac:dyDescent="0.3">
      <c r="D150" s="24"/>
    </row>
    <row r="151" spans="4:4" x14ac:dyDescent="0.3">
      <c r="D151" s="24"/>
    </row>
    <row r="152" spans="4:4" x14ac:dyDescent="0.3">
      <c r="D152" s="24"/>
    </row>
    <row r="153" spans="4:4" x14ac:dyDescent="0.3">
      <c r="D153" s="24"/>
    </row>
    <row r="154" spans="4:4" x14ac:dyDescent="0.3">
      <c r="D154" s="24"/>
    </row>
    <row r="155" spans="4:4" x14ac:dyDescent="0.3">
      <c r="D155" s="24"/>
    </row>
    <row r="156" spans="4:4" x14ac:dyDescent="0.3">
      <c r="D156" s="24"/>
    </row>
    <row r="157" spans="4:4" x14ac:dyDescent="0.3">
      <c r="D157" s="24"/>
    </row>
    <row r="158" spans="4:4" x14ac:dyDescent="0.3">
      <c r="D158" s="24"/>
    </row>
    <row r="159" spans="4:4" x14ac:dyDescent="0.3">
      <c r="D159" s="24"/>
    </row>
    <row r="160" spans="4:4" x14ac:dyDescent="0.3">
      <c r="D160" s="24"/>
    </row>
    <row r="161" spans="4:4" x14ac:dyDescent="0.3">
      <c r="D161" s="24"/>
    </row>
    <row r="162" spans="4:4" x14ac:dyDescent="0.3">
      <c r="D162" s="24"/>
    </row>
    <row r="163" spans="4:4" x14ac:dyDescent="0.3">
      <c r="D163" s="24"/>
    </row>
    <row r="164" spans="4:4" x14ac:dyDescent="0.3">
      <c r="D164" s="24"/>
    </row>
    <row r="165" spans="4:4" x14ac:dyDescent="0.3">
      <c r="D165" s="24"/>
    </row>
    <row r="166" spans="4:4" x14ac:dyDescent="0.3">
      <c r="D166" s="24"/>
    </row>
    <row r="167" spans="4:4" x14ac:dyDescent="0.3">
      <c r="D167" s="24"/>
    </row>
    <row r="168" spans="4:4" x14ac:dyDescent="0.3">
      <c r="D168" s="24"/>
    </row>
    <row r="169" spans="4:4" x14ac:dyDescent="0.3">
      <c r="D169" s="24"/>
    </row>
    <row r="170" spans="4:4" x14ac:dyDescent="0.3">
      <c r="D170" s="24"/>
    </row>
    <row r="171" spans="4:4" x14ac:dyDescent="0.3">
      <c r="D171" s="24"/>
    </row>
    <row r="172" spans="4:4" x14ac:dyDescent="0.3">
      <c r="D172" s="24"/>
    </row>
    <row r="173" spans="4:4" x14ac:dyDescent="0.3">
      <c r="D173" s="24"/>
    </row>
    <row r="174" spans="4:4" x14ac:dyDescent="0.3">
      <c r="D174" s="24"/>
    </row>
    <row r="175" spans="4:4" x14ac:dyDescent="0.3">
      <c r="D175" s="24"/>
    </row>
    <row r="176" spans="4:4" x14ac:dyDescent="0.3">
      <c r="D176" s="24"/>
    </row>
    <row r="177" spans="4:4" x14ac:dyDescent="0.3">
      <c r="D177" s="24"/>
    </row>
    <row r="178" spans="4:4" x14ac:dyDescent="0.3">
      <c r="D178" s="24"/>
    </row>
    <row r="179" spans="4:4" x14ac:dyDescent="0.3">
      <c r="D179" s="24"/>
    </row>
    <row r="180" spans="4:4" x14ac:dyDescent="0.3">
      <c r="D180" s="24"/>
    </row>
    <row r="181" spans="4:4" x14ac:dyDescent="0.3">
      <c r="D181" s="24"/>
    </row>
    <row r="182" spans="4:4" x14ac:dyDescent="0.3">
      <c r="D182" s="24"/>
    </row>
    <row r="183" spans="4:4" x14ac:dyDescent="0.3">
      <c r="D183" s="24"/>
    </row>
    <row r="184" spans="4:4" x14ac:dyDescent="0.3">
      <c r="D184" s="24"/>
    </row>
    <row r="185" spans="4:4" x14ac:dyDescent="0.3">
      <c r="D185" s="24"/>
    </row>
    <row r="186" spans="4:4" x14ac:dyDescent="0.3">
      <c r="D186" s="24"/>
    </row>
    <row r="187" spans="4:4" x14ac:dyDescent="0.3">
      <c r="D187" s="24"/>
    </row>
    <row r="188" spans="4:4" x14ac:dyDescent="0.3">
      <c r="D188" s="24"/>
    </row>
    <row r="189" spans="4:4" x14ac:dyDescent="0.3">
      <c r="D189" s="24"/>
    </row>
    <row r="190" spans="4:4" x14ac:dyDescent="0.3">
      <c r="D190" s="24"/>
    </row>
    <row r="191" spans="4:4" x14ac:dyDescent="0.3">
      <c r="D191" s="24"/>
    </row>
    <row r="192" spans="4:4" x14ac:dyDescent="0.3">
      <c r="D192" s="24"/>
    </row>
    <row r="193" spans="4:4" x14ac:dyDescent="0.3">
      <c r="D193" s="24"/>
    </row>
    <row r="194" spans="4:4" x14ac:dyDescent="0.3">
      <c r="D194" s="24"/>
    </row>
    <row r="195" spans="4:4" x14ac:dyDescent="0.3">
      <c r="D195" s="24"/>
    </row>
    <row r="196" spans="4:4" x14ac:dyDescent="0.3">
      <c r="D196" s="24"/>
    </row>
    <row r="197" spans="4:4" x14ac:dyDescent="0.3">
      <c r="D197" s="24"/>
    </row>
    <row r="198" spans="4:4" x14ac:dyDescent="0.3">
      <c r="D198" s="24"/>
    </row>
    <row r="199" spans="4:4" x14ac:dyDescent="0.3">
      <c r="D199" s="24"/>
    </row>
    <row r="200" spans="4:4" x14ac:dyDescent="0.3">
      <c r="D200" s="24"/>
    </row>
    <row r="201" spans="4:4" x14ac:dyDescent="0.3">
      <c r="D201" s="24"/>
    </row>
    <row r="202" spans="4:4" x14ac:dyDescent="0.3">
      <c r="D202" s="24"/>
    </row>
    <row r="203" spans="4:4" x14ac:dyDescent="0.3">
      <c r="D203" s="24"/>
    </row>
    <row r="204" spans="4:4" x14ac:dyDescent="0.3">
      <c r="D204" s="24"/>
    </row>
    <row r="205" spans="4:4" x14ac:dyDescent="0.3">
      <c r="D205" s="24"/>
    </row>
    <row r="206" spans="4:4" x14ac:dyDescent="0.3">
      <c r="D206" s="24"/>
    </row>
    <row r="207" spans="4:4" x14ac:dyDescent="0.3">
      <c r="D207" s="24"/>
    </row>
    <row r="208" spans="4:4" x14ac:dyDescent="0.3">
      <c r="D208" s="24"/>
    </row>
    <row r="209" spans="4:4" x14ac:dyDescent="0.3">
      <c r="D209" s="24"/>
    </row>
    <row r="210" spans="4:4" x14ac:dyDescent="0.3">
      <c r="D210" s="24"/>
    </row>
    <row r="211" spans="4:4" x14ac:dyDescent="0.3">
      <c r="D211" s="24"/>
    </row>
    <row r="212" spans="4:4" x14ac:dyDescent="0.3">
      <c r="D212" s="24"/>
    </row>
    <row r="213" spans="4:4" x14ac:dyDescent="0.3">
      <c r="D213" s="24"/>
    </row>
    <row r="214" spans="4:4" x14ac:dyDescent="0.3">
      <c r="D214" s="24"/>
    </row>
  </sheetData>
  <pageMargins left="0.75" right="0.75" top="1" bottom="1" header="0.5" footer="0.5"/>
  <pageSetup scale="3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6946-1417-4681-AAA5-A09BB19DF8BD}">
  <sheetPr>
    <tabColor rgb="FFFF0000"/>
  </sheetPr>
  <dimension ref="A1:K198"/>
  <sheetViews>
    <sheetView showGridLines="0" topLeftCell="B1" zoomScale="130" zoomScaleNormal="130" zoomScaleSheetLayoutView="115" workbookViewId="0">
      <pane ySplit="6" topLeftCell="A15" activePane="bottomLeft" state="frozen"/>
      <selection activeCell="I10" sqref="I10"/>
      <selection pane="bottomLeft" activeCell="H16" sqref="H16"/>
    </sheetView>
  </sheetViews>
  <sheetFormatPr defaultColWidth="7.5546875" defaultRowHeight="13.8" x14ac:dyDescent="0.3"/>
  <cols>
    <col min="1" max="1" width="2.33203125" style="4" customWidth="1"/>
    <col min="2" max="2" width="38.109375" style="4" bestFit="1" customWidth="1"/>
    <col min="3" max="19" width="14.109375" style="4" customWidth="1"/>
    <col min="20" max="16384" width="7.5546875" style="4"/>
  </cols>
  <sheetData>
    <row r="1" spans="1:11" ht="14.4" x14ac:dyDescent="0.3">
      <c r="A1" s="1"/>
      <c r="B1" s="2"/>
      <c r="C1" s="2"/>
      <c r="D1" s="1"/>
      <c r="E1" s="1"/>
      <c r="F1" s="1"/>
      <c r="G1" s="1"/>
      <c r="H1" s="3"/>
      <c r="I1" s="3"/>
    </row>
    <row r="2" spans="1:11" ht="14.4" x14ac:dyDescent="0.3">
      <c r="A2" s="1"/>
      <c r="B2" s="5" t="s">
        <v>0</v>
      </c>
      <c r="C2" s="2"/>
      <c r="D2" s="6"/>
      <c r="E2" s="2"/>
      <c r="F2" s="2"/>
      <c r="G2" s="1"/>
      <c r="H2" s="3"/>
      <c r="I2" s="3"/>
    </row>
    <row r="3" spans="1:11" ht="14.4" x14ac:dyDescent="0.3">
      <c r="A3" s="1"/>
      <c r="B3" s="2" t="s">
        <v>19</v>
      </c>
      <c r="C3" s="2"/>
      <c r="D3" s="1"/>
      <c r="E3" s="1"/>
      <c r="F3" s="1"/>
      <c r="G3" s="1"/>
      <c r="H3" s="3"/>
      <c r="I3" s="3"/>
    </row>
    <row r="4" spans="1:11" ht="14.4" x14ac:dyDescent="0.3">
      <c r="A4" s="1"/>
      <c r="B4" s="7"/>
      <c r="C4" s="2"/>
      <c r="D4" s="1"/>
      <c r="E4" s="1"/>
      <c r="F4" s="1"/>
      <c r="G4" s="1"/>
      <c r="H4" s="3"/>
      <c r="I4" s="3"/>
    </row>
    <row r="5" spans="1:11" ht="14.4" x14ac:dyDescent="0.3">
      <c r="A5" s="1"/>
      <c r="B5" s="9"/>
      <c r="C5" s="2"/>
      <c r="D5" s="1"/>
      <c r="E5" s="1"/>
      <c r="F5" s="1"/>
      <c r="G5" s="1"/>
      <c r="H5" s="3"/>
      <c r="I5" s="3"/>
    </row>
    <row r="6" spans="1:11" ht="14.4" x14ac:dyDescent="0.3">
      <c r="A6" s="1"/>
      <c r="B6" s="7" t="s">
        <v>2</v>
      </c>
      <c r="C6" s="11"/>
      <c r="D6" s="12"/>
      <c r="E6" s="13">
        <v>2021</v>
      </c>
      <c r="F6" s="13">
        <v>2022</v>
      </c>
      <c r="G6" s="13">
        <v>2023</v>
      </c>
      <c r="H6" s="3"/>
      <c r="I6" s="3"/>
    </row>
    <row r="8" spans="1:11" ht="14.4" x14ac:dyDescent="0.3">
      <c r="B8" s="41" t="s">
        <v>20</v>
      </c>
    </row>
    <row r="9" spans="1:11" x14ac:dyDescent="0.3">
      <c r="B9" s="28" t="s">
        <v>21</v>
      </c>
      <c r="D9" s="24"/>
      <c r="E9" s="27">
        <v>1471.2348</v>
      </c>
      <c r="F9" s="27">
        <v>1956.0604000000001</v>
      </c>
      <c r="G9" s="27">
        <v>2181.2644</v>
      </c>
    </row>
    <row r="10" spans="1:11" x14ac:dyDescent="0.3">
      <c r="B10" s="28" t="s">
        <v>22</v>
      </c>
      <c r="D10" s="24"/>
      <c r="E10" s="27">
        <v>4686.8108000000002</v>
      </c>
      <c r="F10" s="27">
        <v>5155.4859999999999</v>
      </c>
      <c r="G10" s="27">
        <v>5592.6248000000005</v>
      </c>
    </row>
    <row r="11" spans="1:11" x14ac:dyDescent="0.3">
      <c r="B11" s="28" t="s">
        <v>23</v>
      </c>
      <c r="D11" s="24"/>
      <c r="E11" s="27">
        <v>5476.2791999999999</v>
      </c>
      <c r="F11" s="27">
        <v>6023.9031999999997</v>
      </c>
      <c r="G11" s="27">
        <v>6550.7708000000002</v>
      </c>
    </row>
    <row r="12" spans="1:11" x14ac:dyDescent="0.3">
      <c r="B12" s="28" t="s">
        <v>24</v>
      </c>
      <c r="D12" s="24"/>
      <c r="E12" s="27">
        <v>1660.1396</v>
      </c>
      <c r="F12" s="27">
        <v>1915.0964000000001</v>
      </c>
      <c r="G12" s="27">
        <v>2186.9875999999999</v>
      </c>
    </row>
    <row r="13" spans="1:11" x14ac:dyDescent="0.3">
      <c r="B13" s="16" t="s">
        <v>25</v>
      </c>
      <c r="C13" s="17"/>
      <c r="D13" s="18"/>
      <c r="E13" s="31">
        <v>97.60799999999999</v>
      </c>
      <c r="F13" s="31">
        <v>130.0068</v>
      </c>
      <c r="G13" s="31">
        <v>151.15520000000001</v>
      </c>
    </row>
    <row r="14" spans="1:11" x14ac:dyDescent="0.3">
      <c r="B14" s="20" t="s">
        <v>26</v>
      </c>
      <c r="C14" s="21"/>
      <c r="D14" s="22"/>
      <c r="E14" s="23">
        <f>SUM(E9:E13)</f>
        <v>13392.072400000001</v>
      </c>
      <c r="F14" s="23">
        <f>SUM(F9:F13)</f>
        <v>15180.552799999999</v>
      </c>
      <c r="G14" s="23">
        <f>SUM(G9:G13)</f>
        <v>16662.802800000001</v>
      </c>
    </row>
    <row r="15" spans="1:11" x14ac:dyDescent="0.3">
      <c r="B15" s="15"/>
      <c r="D15" s="24"/>
      <c r="E15" s="25"/>
      <c r="F15" s="25"/>
      <c r="G15" s="25"/>
    </row>
    <row r="16" spans="1:11" x14ac:dyDescent="0.3">
      <c r="B16" s="28" t="s">
        <v>27</v>
      </c>
      <c r="D16" s="24"/>
      <c r="E16" s="27">
        <v>7007</v>
      </c>
      <c r="F16" s="27">
        <v>8309.3220000000001</v>
      </c>
      <c r="G16" s="27">
        <v>9491.2999999999993</v>
      </c>
      <c r="H16" s="3"/>
      <c r="I16" s="3"/>
      <c r="J16" s="3"/>
      <c r="K16" s="3"/>
    </row>
    <row r="17" spans="2:10" x14ac:dyDescent="0.3">
      <c r="B17" s="28" t="s">
        <v>28</v>
      </c>
      <c r="D17" s="24"/>
      <c r="E17" s="27">
        <v>2500.078</v>
      </c>
      <c r="F17" s="27">
        <v>2598.1015199999997</v>
      </c>
      <c r="G17" s="27">
        <v>2854.5636</v>
      </c>
      <c r="H17" s="3"/>
      <c r="I17" s="29"/>
      <c r="J17" s="29"/>
    </row>
    <row r="18" spans="2:10" x14ac:dyDescent="0.3">
      <c r="B18" s="28" t="s">
        <v>29</v>
      </c>
      <c r="D18" s="24"/>
      <c r="E18" s="27">
        <v>0</v>
      </c>
      <c r="F18" s="27">
        <v>0</v>
      </c>
      <c r="G18" s="27">
        <v>0</v>
      </c>
    </row>
    <row r="19" spans="2:10" x14ac:dyDescent="0.3">
      <c r="B19" s="16" t="s">
        <v>30</v>
      </c>
      <c r="C19" s="17"/>
      <c r="D19" s="18"/>
      <c r="E19" s="31">
        <v>1130.43</v>
      </c>
      <c r="F19" s="31">
        <v>1700.5352</v>
      </c>
      <c r="G19" s="31">
        <v>1825.5636</v>
      </c>
    </row>
    <row r="20" spans="2:10" x14ac:dyDescent="0.3">
      <c r="B20" s="21" t="s">
        <v>31</v>
      </c>
      <c r="D20" s="24"/>
      <c r="E20" s="23">
        <f>SUM(E16:E19)</f>
        <v>10637.508</v>
      </c>
      <c r="F20" s="23">
        <f>SUM(F16:F19)</f>
        <v>12607.958720000001</v>
      </c>
      <c r="G20" s="23">
        <f>SUM(G16:G19)</f>
        <v>14171.427199999998</v>
      </c>
    </row>
    <row r="21" spans="2:10" x14ac:dyDescent="0.3">
      <c r="B21" s="28"/>
      <c r="D21" s="24"/>
      <c r="E21" s="27"/>
      <c r="F21" s="27"/>
      <c r="G21" s="27"/>
    </row>
    <row r="22" spans="2:10" ht="14.4" thickBot="1" x14ac:dyDescent="0.35">
      <c r="B22" s="36" t="s">
        <v>32</v>
      </c>
      <c r="C22" s="36"/>
      <c r="D22" s="37"/>
      <c r="E22" s="38">
        <f>E14+E20</f>
        <v>24029.580399999999</v>
      </c>
      <c r="F22" s="38">
        <f>F14+F20</f>
        <v>27788.51152</v>
      </c>
      <c r="G22" s="38">
        <f>G14+G20</f>
        <v>30834.23</v>
      </c>
    </row>
    <row r="23" spans="2:10" x14ac:dyDescent="0.3">
      <c r="D23" s="24"/>
      <c r="E23" s="27"/>
      <c r="F23" s="27"/>
      <c r="G23" s="27"/>
    </row>
    <row r="24" spans="2:10" x14ac:dyDescent="0.3">
      <c r="D24" s="24"/>
      <c r="E24" s="27"/>
      <c r="F24" s="27"/>
      <c r="G24" s="27"/>
    </row>
    <row r="25" spans="2:10" ht="14.4" x14ac:dyDescent="0.3">
      <c r="B25" s="41" t="s">
        <v>33</v>
      </c>
      <c r="D25" s="24"/>
      <c r="E25" s="27"/>
      <c r="F25" s="27"/>
      <c r="G25" s="27"/>
    </row>
    <row r="26" spans="2:10" x14ac:dyDescent="0.3">
      <c r="B26" s="30" t="s">
        <v>34</v>
      </c>
      <c r="D26" s="24"/>
      <c r="E26" s="27">
        <v>4691.1032000000005</v>
      </c>
      <c r="F26" s="27">
        <v>5396.8403999999991</v>
      </c>
      <c r="G26" s="27">
        <v>6055.8119999999999</v>
      </c>
    </row>
    <row r="27" spans="2:10" x14ac:dyDescent="0.3">
      <c r="B27" s="30" t="s">
        <v>35</v>
      </c>
      <c r="D27" s="24"/>
      <c r="E27" s="27">
        <v>2628.1640000000002</v>
      </c>
      <c r="F27" s="27">
        <v>3061.0104000000001</v>
      </c>
      <c r="G27" s="27">
        <v>3343.4071999999996</v>
      </c>
    </row>
    <row r="28" spans="2:10" x14ac:dyDescent="0.3">
      <c r="B28" s="42" t="s">
        <v>36</v>
      </c>
      <c r="C28" s="17"/>
      <c r="D28" s="18"/>
      <c r="E28" s="31">
        <v>187.63079999999999</v>
      </c>
      <c r="F28" s="31">
        <v>215.85479999999998</v>
      </c>
      <c r="G28" s="31">
        <v>259.30799999999999</v>
      </c>
    </row>
    <row r="29" spans="2:10" x14ac:dyDescent="0.3">
      <c r="B29" s="20" t="s">
        <v>37</v>
      </c>
      <c r="C29" s="21"/>
      <c r="D29" s="22"/>
      <c r="E29" s="23">
        <f>SUM(E26:E28)</f>
        <v>7506.8980000000001</v>
      </c>
      <c r="F29" s="23">
        <f>SUM(F26:F28)</f>
        <v>8673.7055999999993</v>
      </c>
      <c r="G29" s="23">
        <f>SUM(G26:G28)</f>
        <v>9658.5272000000004</v>
      </c>
    </row>
    <row r="30" spans="2:10" x14ac:dyDescent="0.3">
      <c r="D30" s="24"/>
      <c r="E30" s="27"/>
      <c r="F30" s="27"/>
      <c r="G30" s="27"/>
    </row>
    <row r="31" spans="2:10" x14ac:dyDescent="0.3">
      <c r="B31" s="30" t="s">
        <v>38</v>
      </c>
      <c r="D31" s="24"/>
      <c r="E31" s="27">
        <v>7487.2</v>
      </c>
      <c r="F31" s="27">
        <v>6840.4</v>
      </c>
      <c r="G31" s="27">
        <v>6193.5999999999995</v>
      </c>
      <c r="H31" s="3"/>
      <c r="I31" s="3"/>
    </row>
    <row r="32" spans="2:10" x14ac:dyDescent="0.3">
      <c r="B32" s="30" t="s">
        <v>39</v>
      </c>
      <c r="D32" s="24"/>
      <c r="E32" s="27">
        <v>0</v>
      </c>
      <c r="F32" s="27">
        <v>0</v>
      </c>
      <c r="G32" s="27">
        <v>0</v>
      </c>
    </row>
    <row r="33" spans="2:7" x14ac:dyDescent="0.3">
      <c r="B33" s="42" t="s">
        <v>40</v>
      </c>
      <c r="C33" s="17"/>
      <c r="D33" s="18"/>
      <c r="E33" s="31">
        <v>449.428</v>
      </c>
      <c r="F33" s="31">
        <v>1807.0808</v>
      </c>
      <c r="G33" s="31">
        <v>903.54039999999998</v>
      </c>
    </row>
    <row r="34" spans="2:7" x14ac:dyDescent="0.3">
      <c r="B34" s="20" t="s">
        <v>41</v>
      </c>
      <c r="D34" s="24"/>
      <c r="E34" s="23">
        <f>SUM(E31:E33)</f>
        <v>7936.6279999999997</v>
      </c>
      <c r="F34" s="23">
        <f>SUM(F31:F33)</f>
        <v>8647.4807999999994</v>
      </c>
      <c r="G34" s="23">
        <f>SUM(G31:G33)</f>
        <v>7097.1403999999993</v>
      </c>
    </row>
    <row r="35" spans="2:7" x14ac:dyDescent="0.3">
      <c r="D35" s="24"/>
      <c r="E35" s="27"/>
      <c r="F35" s="27"/>
      <c r="G35" s="27"/>
    </row>
    <row r="36" spans="2:7" x14ac:dyDescent="0.3">
      <c r="B36" s="30" t="s">
        <v>42</v>
      </c>
      <c r="D36" s="24"/>
      <c r="E36" s="27">
        <v>980</v>
      </c>
      <c r="F36" s="27">
        <v>980</v>
      </c>
      <c r="G36" s="27">
        <v>980</v>
      </c>
    </row>
    <row r="37" spans="2:7" x14ac:dyDescent="0.3">
      <c r="B37" s="42" t="s">
        <v>43</v>
      </c>
      <c r="C37" s="17"/>
      <c r="D37" s="18"/>
      <c r="E37" s="31">
        <v>7606.0544</v>
      </c>
      <c r="F37" s="31">
        <v>9487.3251199999995</v>
      </c>
      <c r="G37" s="31">
        <v>13098.562399999999</v>
      </c>
    </row>
    <row r="38" spans="2:7" x14ac:dyDescent="0.3">
      <c r="B38" s="20" t="s">
        <v>44</v>
      </c>
      <c r="D38" s="24"/>
      <c r="E38" s="23">
        <f>SUM(E36:E37)</f>
        <v>8586.0544000000009</v>
      </c>
      <c r="F38" s="23">
        <f>SUM(F36:F37)</f>
        <v>10467.32512</v>
      </c>
      <c r="G38" s="23">
        <f>SUM(G36:G37)</f>
        <v>14078.562399999999</v>
      </c>
    </row>
    <row r="39" spans="2:7" x14ac:dyDescent="0.3">
      <c r="D39" s="24"/>
      <c r="E39" s="27"/>
      <c r="F39" s="27"/>
      <c r="G39" s="27"/>
    </row>
    <row r="40" spans="2:7" ht="14.4" thickBot="1" x14ac:dyDescent="0.35">
      <c r="B40" s="36" t="s">
        <v>45</v>
      </c>
      <c r="C40" s="36"/>
      <c r="D40" s="37"/>
      <c r="E40" s="38">
        <f>E29+E34+E38</f>
        <v>24029.580399999999</v>
      </c>
      <c r="F40" s="38">
        <f>F29+F34+F38</f>
        <v>27788.51152</v>
      </c>
      <c r="G40" s="38">
        <f>G29+G34+G38</f>
        <v>30834.23</v>
      </c>
    </row>
    <row r="41" spans="2:7" x14ac:dyDescent="0.3">
      <c r="D41" s="24"/>
      <c r="E41" s="43"/>
      <c r="F41" s="43"/>
      <c r="G41" s="43"/>
    </row>
    <row r="42" spans="2:7" x14ac:dyDescent="0.3">
      <c r="B42" s="3"/>
      <c r="C42" s="3"/>
      <c r="D42" s="24"/>
      <c r="E42" s="27"/>
      <c r="F42" s="27"/>
      <c r="G42" s="27"/>
    </row>
    <row r="43" spans="2:7" x14ac:dyDescent="0.3">
      <c r="D43" s="24"/>
      <c r="E43" s="25"/>
      <c r="F43" s="25"/>
      <c r="G43" s="25"/>
    </row>
    <row r="44" spans="2:7" x14ac:dyDescent="0.3">
      <c r="D44" s="24"/>
      <c r="E44" s="27"/>
      <c r="F44" s="27"/>
      <c r="G44" s="27"/>
    </row>
    <row r="45" spans="2:7" x14ac:dyDescent="0.3">
      <c r="D45" s="24"/>
      <c r="E45" s="27"/>
      <c r="F45" s="27"/>
      <c r="G45" s="27"/>
    </row>
    <row r="46" spans="2:7" x14ac:dyDescent="0.3">
      <c r="D46" s="24"/>
    </row>
    <row r="47" spans="2:7" x14ac:dyDescent="0.3">
      <c r="D47" s="24"/>
    </row>
    <row r="48" spans="2:7" x14ac:dyDescent="0.3">
      <c r="D48" s="24"/>
    </row>
    <row r="49" spans="4:4" x14ac:dyDescent="0.3">
      <c r="D49" s="24"/>
    </row>
    <row r="50" spans="4:4" x14ac:dyDescent="0.3">
      <c r="D50" s="24"/>
    </row>
    <row r="51" spans="4:4" x14ac:dyDescent="0.3">
      <c r="D51" s="24"/>
    </row>
    <row r="52" spans="4:4" x14ac:dyDescent="0.3">
      <c r="D52" s="24"/>
    </row>
    <row r="53" spans="4:4" x14ac:dyDescent="0.3">
      <c r="D53" s="24"/>
    </row>
    <row r="54" spans="4:4" x14ac:dyDescent="0.3">
      <c r="D54" s="24"/>
    </row>
    <row r="55" spans="4:4" x14ac:dyDescent="0.3">
      <c r="D55" s="24"/>
    </row>
    <row r="56" spans="4:4" x14ac:dyDescent="0.3">
      <c r="D56" s="24"/>
    </row>
    <row r="57" spans="4:4" x14ac:dyDescent="0.3">
      <c r="D57" s="24"/>
    </row>
    <row r="58" spans="4:4" x14ac:dyDescent="0.3">
      <c r="D58" s="24"/>
    </row>
    <row r="59" spans="4:4" x14ac:dyDescent="0.3">
      <c r="D59" s="24"/>
    </row>
    <row r="60" spans="4:4" x14ac:dyDescent="0.3">
      <c r="D60" s="24"/>
    </row>
    <row r="61" spans="4:4" x14ac:dyDescent="0.3">
      <c r="D61" s="24"/>
    </row>
    <row r="62" spans="4:4" x14ac:dyDescent="0.3">
      <c r="D62" s="24"/>
    </row>
    <row r="63" spans="4:4" x14ac:dyDescent="0.3">
      <c r="D63" s="24"/>
    </row>
    <row r="64" spans="4:4" x14ac:dyDescent="0.3">
      <c r="D64" s="24"/>
    </row>
    <row r="65" spans="4:4" x14ac:dyDescent="0.3">
      <c r="D65" s="24"/>
    </row>
    <row r="66" spans="4:4" x14ac:dyDescent="0.3">
      <c r="D66" s="24"/>
    </row>
    <row r="67" spans="4:4" x14ac:dyDescent="0.3">
      <c r="D67" s="24"/>
    </row>
    <row r="68" spans="4:4" x14ac:dyDescent="0.3">
      <c r="D68" s="24"/>
    </row>
    <row r="69" spans="4:4" x14ac:dyDescent="0.3">
      <c r="D69" s="24"/>
    </row>
    <row r="70" spans="4:4" x14ac:dyDescent="0.3">
      <c r="D70" s="24"/>
    </row>
    <row r="71" spans="4:4" x14ac:dyDescent="0.3">
      <c r="D71" s="24"/>
    </row>
    <row r="72" spans="4:4" x14ac:dyDescent="0.3">
      <c r="D72" s="24"/>
    </row>
    <row r="73" spans="4:4" x14ac:dyDescent="0.3">
      <c r="D73" s="24"/>
    </row>
    <row r="74" spans="4:4" x14ac:dyDescent="0.3">
      <c r="D74" s="24"/>
    </row>
    <row r="75" spans="4:4" x14ac:dyDescent="0.3">
      <c r="D75" s="24"/>
    </row>
    <row r="76" spans="4:4" x14ac:dyDescent="0.3">
      <c r="D76" s="24"/>
    </row>
    <row r="77" spans="4:4" x14ac:dyDescent="0.3">
      <c r="D77" s="24"/>
    </row>
    <row r="78" spans="4:4" x14ac:dyDescent="0.3">
      <c r="D78" s="24"/>
    </row>
    <row r="79" spans="4:4" x14ac:dyDescent="0.3">
      <c r="D79" s="24"/>
    </row>
    <row r="80" spans="4:4" x14ac:dyDescent="0.3">
      <c r="D80" s="24"/>
    </row>
    <row r="81" spans="4:4" x14ac:dyDescent="0.3">
      <c r="D81" s="24"/>
    </row>
    <row r="82" spans="4:4" x14ac:dyDescent="0.3">
      <c r="D82" s="24"/>
    </row>
    <row r="83" spans="4:4" x14ac:dyDescent="0.3">
      <c r="D83" s="24"/>
    </row>
    <row r="84" spans="4:4" x14ac:dyDescent="0.3">
      <c r="D84" s="24"/>
    </row>
    <row r="85" spans="4:4" x14ac:dyDescent="0.3">
      <c r="D85" s="24"/>
    </row>
    <row r="86" spans="4:4" x14ac:dyDescent="0.3">
      <c r="D86" s="24"/>
    </row>
    <row r="87" spans="4:4" x14ac:dyDescent="0.3">
      <c r="D87" s="24"/>
    </row>
    <row r="88" spans="4:4" x14ac:dyDescent="0.3">
      <c r="D88" s="24"/>
    </row>
    <row r="89" spans="4:4" x14ac:dyDescent="0.3">
      <c r="D89" s="24"/>
    </row>
    <row r="90" spans="4:4" x14ac:dyDescent="0.3">
      <c r="D90" s="24"/>
    </row>
    <row r="91" spans="4:4" x14ac:dyDescent="0.3">
      <c r="D91" s="24"/>
    </row>
    <row r="92" spans="4:4" x14ac:dyDescent="0.3">
      <c r="D92" s="24"/>
    </row>
    <row r="93" spans="4:4" x14ac:dyDescent="0.3">
      <c r="D93" s="24"/>
    </row>
    <row r="94" spans="4:4" x14ac:dyDescent="0.3">
      <c r="D94" s="24"/>
    </row>
    <row r="95" spans="4:4" x14ac:dyDescent="0.3">
      <c r="D95" s="24"/>
    </row>
    <row r="96" spans="4:4" x14ac:dyDescent="0.3">
      <c r="D96" s="24"/>
    </row>
    <row r="97" spans="4:4" x14ac:dyDescent="0.3">
      <c r="D97" s="24"/>
    </row>
    <row r="98" spans="4:4" x14ac:dyDescent="0.3">
      <c r="D98" s="24"/>
    </row>
    <row r="99" spans="4:4" x14ac:dyDescent="0.3">
      <c r="D99" s="24"/>
    </row>
    <row r="100" spans="4:4" x14ac:dyDescent="0.3">
      <c r="D100" s="24"/>
    </row>
    <row r="101" spans="4:4" x14ac:dyDescent="0.3">
      <c r="D101" s="24"/>
    </row>
    <row r="102" spans="4:4" x14ac:dyDescent="0.3">
      <c r="D102" s="24"/>
    </row>
    <row r="103" spans="4:4" x14ac:dyDescent="0.3">
      <c r="D103" s="24"/>
    </row>
    <row r="104" spans="4:4" x14ac:dyDescent="0.3">
      <c r="D104" s="24"/>
    </row>
    <row r="105" spans="4:4" x14ac:dyDescent="0.3">
      <c r="D105" s="24"/>
    </row>
    <row r="106" spans="4:4" x14ac:dyDescent="0.3">
      <c r="D106" s="24"/>
    </row>
    <row r="107" spans="4:4" x14ac:dyDescent="0.3">
      <c r="D107" s="24"/>
    </row>
    <row r="108" spans="4:4" x14ac:dyDescent="0.3">
      <c r="D108" s="24"/>
    </row>
    <row r="109" spans="4:4" x14ac:dyDescent="0.3">
      <c r="D109" s="24"/>
    </row>
    <row r="110" spans="4:4" x14ac:dyDescent="0.3">
      <c r="D110" s="24"/>
    </row>
    <row r="111" spans="4:4" x14ac:dyDescent="0.3">
      <c r="D111" s="24"/>
    </row>
    <row r="112" spans="4:4" x14ac:dyDescent="0.3">
      <c r="D112" s="24"/>
    </row>
    <row r="113" spans="4:4" x14ac:dyDescent="0.3">
      <c r="D113" s="24"/>
    </row>
    <row r="114" spans="4:4" x14ac:dyDescent="0.3">
      <c r="D114" s="24"/>
    </row>
    <row r="115" spans="4:4" x14ac:dyDescent="0.3">
      <c r="D115" s="24"/>
    </row>
    <row r="116" spans="4:4" x14ac:dyDescent="0.3">
      <c r="D116" s="24"/>
    </row>
    <row r="117" spans="4:4" x14ac:dyDescent="0.3">
      <c r="D117" s="24"/>
    </row>
    <row r="118" spans="4:4" x14ac:dyDescent="0.3">
      <c r="D118" s="24"/>
    </row>
    <row r="119" spans="4:4" x14ac:dyDescent="0.3">
      <c r="D119" s="24"/>
    </row>
    <row r="120" spans="4:4" x14ac:dyDescent="0.3">
      <c r="D120" s="24"/>
    </row>
    <row r="121" spans="4:4" x14ac:dyDescent="0.3">
      <c r="D121" s="24"/>
    </row>
    <row r="122" spans="4:4" x14ac:dyDescent="0.3">
      <c r="D122" s="24"/>
    </row>
    <row r="123" spans="4:4" x14ac:dyDescent="0.3">
      <c r="D123" s="24"/>
    </row>
    <row r="124" spans="4:4" x14ac:dyDescent="0.3">
      <c r="D124" s="24"/>
    </row>
    <row r="125" spans="4:4" x14ac:dyDescent="0.3">
      <c r="D125" s="24"/>
    </row>
    <row r="126" spans="4:4" x14ac:dyDescent="0.3">
      <c r="D126" s="24"/>
    </row>
    <row r="127" spans="4:4" x14ac:dyDescent="0.3">
      <c r="D127" s="24"/>
    </row>
    <row r="128" spans="4:4" x14ac:dyDescent="0.3">
      <c r="D128" s="24"/>
    </row>
    <row r="129" spans="4:4" x14ac:dyDescent="0.3">
      <c r="D129" s="24"/>
    </row>
    <row r="130" spans="4:4" x14ac:dyDescent="0.3">
      <c r="D130" s="24"/>
    </row>
    <row r="131" spans="4:4" x14ac:dyDescent="0.3">
      <c r="D131" s="24"/>
    </row>
    <row r="132" spans="4:4" x14ac:dyDescent="0.3">
      <c r="D132" s="24"/>
    </row>
    <row r="133" spans="4:4" x14ac:dyDescent="0.3">
      <c r="D133" s="24"/>
    </row>
    <row r="134" spans="4:4" x14ac:dyDescent="0.3">
      <c r="D134" s="24"/>
    </row>
    <row r="135" spans="4:4" x14ac:dyDescent="0.3">
      <c r="D135" s="24"/>
    </row>
    <row r="136" spans="4:4" x14ac:dyDescent="0.3">
      <c r="D136" s="24"/>
    </row>
    <row r="137" spans="4:4" x14ac:dyDescent="0.3">
      <c r="D137" s="24"/>
    </row>
    <row r="138" spans="4:4" x14ac:dyDescent="0.3">
      <c r="D138" s="24"/>
    </row>
    <row r="139" spans="4:4" x14ac:dyDescent="0.3">
      <c r="D139" s="24"/>
    </row>
    <row r="140" spans="4:4" x14ac:dyDescent="0.3">
      <c r="D140" s="24"/>
    </row>
    <row r="141" spans="4:4" x14ac:dyDescent="0.3">
      <c r="D141" s="24"/>
    </row>
    <row r="142" spans="4:4" x14ac:dyDescent="0.3">
      <c r="D142" s="24"/>
    </row>
    <row r="143" spans="4:4" x14ac:dyDescent="0.3">
      <c r="D143" s="24"/>
    </row>
    <row r="144" spans="4:4" x14ac:dyDescent="0.3">
      <c r="D144" s="24"/>
    </row>
    <row r="145" spans="4:4" x14ac:dyDescent="0.3">
      <c r="D145" s="24"/>
    </row>
    <row r="146" spans="4:4" x14ac:dyDescent="0.3">
      <c r="D146" s="24"/>
    </row>
    <row r="147" spans="4:4" x14ac:dyDescent="0.3">
      <c r="D147" s="24"/>
    </row>
    <row r="148" spans="4:4" x14ac:dyDescent="0.3">
      <c r="D148" s="24"/>
    </row>
    <row r="149" spans="4:4" x14ac:dyDescent="0.3">
      <c r="D149" s="24"/>
    </row>
    <row r="150" spans="4:4" x14ac:dyDescent="0.3">
      <c r="D150" s="24"/>
    </row>
    <row r="151" spans="4:4" x14ac:dyDescent="0.3">
      <c r="D151" s="24"/>
    </row>
    <row r="152" spans="4:4" x14ac:dyDescent="0.3">
      <c r="D152" s="24"/>
    </row>
    <row r="153" spans="4:4" x14ac:dyDescent="0.3">
      <c r="D153" s="24"/>
    </row>
    <row r="154" spans="4:4" x14ac:dyDescent="0.3">
      <c r="D154" s="24"/>
    </row>
    <row r="155" spans="4:4" x14ac:dyDescent="0.3">
      <c r="D155" s="24"/>
    </row>
    <row r="156" spans="4:4" x14ac:dyDescent="0.3">
      <c r="D156" s="24"/>
    </row>
    <row r="157" spans="4:4" x14ac:dyDescent="0.3">
      <c r="D157" s="24"/>
    </row>
    <row r="158" spans="4:4" x14ac:dyDescent="0.3">
      <c r="D158" s="24"/>
    </row>
    <row r="159" spans="4:4" x14ac:dyDescent="0.3">
      <c r="D159" s="24"/>
    </row>
    <row r="160" spans="4:4" x14ac:dyDescent="0.3">
      <c r="D160" s="24"/>
    </row>
    <row r="161" spans="4:4" x14ac:dyDescent="0.3">
      <c r="D161" s="24"/>
    </row>
    <row r="162" spans="4:4" x14ac:dyDescent="0.3">
      <c r="D162" s="24"/>
    </row>
    <row r="163" spans="4:4" x14ac:dyDescent="0.3">
      <c r="D163" s="24"/>
    </row>
    <row r="164" spans="4:4" x14ac:dyDescent="0.3">
      <c r="D164" s="24"/>
    </row>
    <row r="165" spans="4:4" x14ac:dyDescent="0.3">
      <c r="D165" s="24"/>
    </row>
    <row r="166" spans="4:4" x14ac:dyDescent="0.3">
      <c r="D166" s="24"/>
    </row>
    <row r="167" spans="4:4" x14ac:dyDescent="0.3">
      <c r="D167" s="24"/>
    </row>
    <row r="168" spans="4:4" x14ac:dyDescent="0.3">
      <c r="D168" s="24"/>
    </row>
    <row r="169" spans="4:4" x14ac:dyDescent="0.3">
      <c r="D169" s="24"/>
    </row>
    <row r="170" spans="4:4" x14ac:dyDescent="0.3">
      <c r="D170" s="24"/>
    </row>
    <row r="171" spans="4:4" x14ac:dyDescent="0.3">
      <c r="D171" s="24"/>
    </row>
    <row r="172" spans="4:4" x14ac:dyDescent="0.3">
      <c r="D172" s="24"/>
    </row>
    <row r="173" spans="4:4" x14ac:dyDescent="0.3">
      <c r="D173" s="24"/>
    </row>
    <row r="174" spans="4:4" x14ac:dyDescent="0.3">
      <c r="D174" s="24"/>
    </row>
    <row r="175" spans="4:4" x14ac:dyDescent="0.3">
      <c r="D175" s="24"/>
    </row>
    <row r="176" spans="4:4" x14ac:dyDescent="0.3">
      <c r="D176" s="24"/>
    </row>
    <row r="177" spans="4:4" x14ac:dyDescent="0.3">
      <c r="D177" s="24"/>
    </row>
    <row r="178" spans="4:4" x14ac:dyDescent="0.3">
      <c r="D178" s="24"/>
    </row>
    <row r="179" spans="4:4" x14ac:dyDescent="0.3">
      <c r="D179" s="24"/>
    </row>
    <row r="180" spans="4:4" x14ac:dyDescent="0.3">
      <c r="D180" s="24"/>
    </row>
    <row r="181" spans="4:4" x14ac:dyDescent="0.3">
      <c r="D181" s="24"/>
    </row>
    <row r="182" spans="4:4" x14ac:dyDescent="0.3">
      <c r="D182" s="24"/>
    </row>
    <row r="183" spans="4:4" x14ac:dyDescent="0.3">
      <c r="D183" s="24"/>
    </row>
    <row r="184" spans="4:4" x14ac:dyDescent="0.3">
      <c r="D184" s="24"/>
    </row>
    <row r="185" spans="4:4" x14ac:dyDescent="0.3">
      <c r="D185" s="24"/>
    </row>
    <row r="186" spans="4:4" x14ac:dyDescent="0.3">
      <c r="D186" s="24"/>
    </row>
    <row r="187" spans="4:4" x14ac:dyDescent="0.3">
      <c r="D187" s="24"/>
    </row>
    <row r="188" spans="4:4" x14ac:dyDescent="0.3">
      <c r="D188" s="24"/>
    </row>
    <row r="189" spans="4:4" x14ac:dyDescent="0.3">
      <c r="D189" s="24"/>
    </row>
    <row r="190" spans="4:4" x14ac:dyDescent="0.3">
      <c r="D190" s="24"/>
    </row>
    <row r="191" spans="4:4" x14ac:dyDescent="0.3">
      <c r="D191" s="24"/>
    </row>
    <row r="192" spans="4:4" x14ac:dyDescent="0.3">
      <c r="D192" s="24"/>
    </row>
    <row r="193" spans="4:4" x14ac:dyDescent="0.3">
      <c r="D193" s="24"/>
    </row>
    <row r="194" spans="4:4" x14ac:dyDescent="0.3">
      <c r="D194" s="24"/>
    </row>
    <row r="195" spans="4:4" x14ac:dyDescent="0.3">
      <c r="D195" s="24"/>
    </row>
    <row r="196" spans="4:4" x14ac:dyDescent="0.3">
      <c r="D196" s="24"/>
    </row>
    <row r="197" spans="4:4" x14ac:dyDescent="0.3">
      <c r="D197" s="24"/>
    </row>
    <row r="198" spans="4:4" x14ac:dyDescent="0.3">
      <c r="D198" s="24"/>
    </row>
  </sheetData>
  <pageMargins left="0.75" right="0.75" top="1" bottom="1" header="0.5" footer="0.5"/>
  <pageSetup scale="3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52EA-A990-4068-A505-7AA8A8FC3B3C}">
  <dimension ref="G4:G9"/>
  <sheetViews>
    <sheetView workbookViewId="0">
      <selection activeCell="G9" sqref="G9"/>
    </sheetView>
  </sheetViews>
  <sheetFormatPr defaultRowHeight="14.4" x14ac:dyDescent="0.3"/>
  <cols>
    <col min="7" max="7" width="20" bestFit="1" customWidth="1"/>
  </cols>
  <sheetData>
    <row r="4" spans="7:7" x14ac:dyDescent="0.3">
      <c r="G4" t="s">
        <v>302</v>
      </c>
    </row>
    <row r="5" spans="7:7" x14ac:dyDescent="0.3">
      <c r="G5" t="s">
        <v>300</v>
      </c>
    </row>
    <row r="6" spans="7:7" x14ac:dyDescent="0.3">
      <c r="G6" t="s">
        <v>301</v>
      </c>
    </row>
    <row r="7" spans="7:7" x14ac:dyDescent="0.3">
      <c r="G7" t="s">
        <v>304</v>
      </c>
    </row>
    <row r="8" spans="7:7" x14ac:dyDescent="0.3">
      <c r="G8" t="s">
        <v>305</v>
      </c>
    </row>
    <row r="9" spans="7:7" x14ac:dyDescent="0.3">
      <c r="G9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Cover&gt;</vt:lpstr>
      <vt:lpstr>ControlSheet</vt:lpstr>
      <vt:lpstr>Schedules</vt:lpstr>
      <vt:lpstr>3 Statement Model</vt:lpstr>
      <vt:lpstr>Common Size Statement</vt:lpstr>
      <vt:lpstr>Ratio Analysis</vt:lpstr>
      <vt:lpstr>DCF Val</vt:lpstr>
      <vt:lpstr>Client Data &gt;</vt:lpstr>
      <vt:lpstr> Income Statement</vt:lpstr>
      <vt:lpstr> Balance Sheet</vt:lpstr>
      <vt:lpstr>Sheet2</vt:lpstr>
      <vt:lpstr>' Balance Sheet'!Print_Area</vt:lpstr>
      <vt:lpstr>' Income Statement'!Print_Area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Verma</dc:creator>
  <cp:lastModifiedBy>AJAY RAWAT</cp:lastModifiedBy>
  <cp:lastPrinted>2025-10-19T09:42:10Z</cp:lastPrinted>
  <dcterms:created xsi:type="dcterms:W3CDTF">2023-09-22T06:48:58Z</dcterms:created>
  <dcterms:modified xsi:type="dcterms:W3CDTF">2025-11-29T05:52:00Z</dcterms:modified>
</cp:coreProperties>
</file>